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ЭтаКнига" defaultThemeVersion="124226"/>
  <bookViews>
    <workbookView xWindow="360" yWindow="180" windowWidth="12120" windowHeight="7110"/>
  </bookViews>
  <sheets>
    <sheet name="1.09.19" sheetId="1" r:id="rId1"/>
  </sheets>
  <calcPr calcId="152511" refMode="R1C1"/>
</workbook>
</file>

<file path=xl/calcChain.xml><?xml version="1.0" encoding="utf-8"?>
<calcChain xmlns="http://schemas.openxmlformats.org/spreadsheetml/2006/main">
  <c r="C16" i="1" l="1"/>
  <c r="C7" i="1"/>
  <c r="C29" i="1"/>
  <c r="C5" i="1" l="1"/>
  <c r="C34" i="1" s="1"/>
</calcChain>
</file>

<file path=xl/sharedStrings.xml><?xml version="1.0" encoding="utf-8"?>
<sst xmlns="http://schemas.openxmlformats.org/spreadsheetml/2006/main" count="40" uniqueCount="37">
  <si>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</si>
  <si>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</si>
  <si>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</si>
  <si>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</si>
  <si>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</si>
  <si>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</si>
  <si>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</si>
  <si>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</si>
  <si>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</si>
  <si>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</si>
  <si>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</si>
  <si>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</si>
  <si>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</si>
  <si>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</si>
  <si>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</si>
  <si>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</si>
  <si>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</si>
  <si>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</si>
  <si>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</si>
  <si>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</si>
  <si>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</si>
  <si>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</si>
  <si>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</si>
  <si>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</si>
  <si>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</si>
  <si>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</si>
  <si>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</si>
  <si>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</si>
  <si>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</si>
  <si>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</si>
  <si>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</si>
  <si>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 - инвестиционные доходы от управления Фондом*</t>
  </si>
  <si>
    <t>Средства Национального фонда (далее-Фонд) на начало отчетного периода ( кассовое исполнение), всего:</t>
  </si>
  <si>
    <t>Дополнительный платеж недропользователя, осуществляющего деятельность по контракту о разделе продукции, и альтернативный налог на недропользование от организаций нефтяного сектора</t>
  </si>
  <si>
    <t xml:space="preserve">  -поступления от передачи в конкурентную среду активов национальных управляющих холдингов, национальных холдингов, национальных компаний и их дочерних, зависимых и иных юридических лиц, являющихся аффилированными с ними, в порядке и по перечню, определяемым Правительством Республики Казахстан</t>
  </si>
  <si>
    <t>ОТЧЕТ О ПОСТУПЛЕНИЯХ И ИСПОЛЬЗОВАНИИ НАЦИОНАЛЬНОГО ФОНДА РЕСПУБЛИКИ КАЗАХСТАН НА 1 СЕНТЯБРЯ 2019 ГОДА</t>
  </si>
  <si>
    <t xml:space="preserve">Примечание: *С учетом инвестиционного дохода за 1 полугодие 2019 года, согласно утвержденного отчета НБРК за 2 квартал 2019 года по доверительному управлению Нацфондом.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</si>
</sst>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7"/>
  <sheetViews>
    <sheetView tabSelected="1" workbookViewId="0">
      <selection activeCell="A35" sqref="A35:C35"/>
    </sheetView>
  </sheetViews>
  <sheetFormatPr defaultRowHeight="12.75" x14ac:dyDescent="0.2"/>
  <cols>
    <col min="1" max="1" width="5.5703125" style="3" customWidth="1"/>
    <col min="2" max="2" width="87.2851562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35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32</v>
      </c>
      <c r="C4" s="22">
        <v>26062038092</v>
      </c>
    </row>
    <row r="5" spans="1:3" ht="22.5" customHeight="1" thickBot="1" x14ac:dyDescent="0.25">
      <c r="A5" s="6" t="s">
        <v>2</v>
      </c>
      <c r="B5" s="7" t="s">
        <v>9</v>
      </c>
      <c r="C5" s="23">
        <f>SUM(C7+C16+C22+C23+C24+C25+C26+C27+C28)</f>
        <v>2868562372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2026925964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777018004</v>
      </c>
    </row>
    <row r="10" spans="1:3" ht="15" customHeight="1" x14ac:dyDescent="0.25">
      <c r="A10" s="13"/>
      <c r="B10" s="38" t="s">
        <v>12</v>
      </c>
      <c r="C10" s="31">
        <v>109043298</v>
      </c>
    </row>
    <row r="11" spans="1:3" ht="15" customHeight="1" x14ac:dyDescent="0.25">
      <c r="A11" s="13"/>
      <c r="B11" s="38" t="s">
        <v>13</v>
      </c>
      <c r="C11" s="31">
        <v>6815362</v>
      </c>
    </row>
    <row r="12" spans="1:3" ht="15" customHeight="1" x14ac:dyDescent="0.25">
      <c r="A12" s="14"/>
      <c r="B12" s="32" t="s">
        <v>25</v>
      </c>
      <c r="C12" s="31">
        <v>244775773</v>
      </c>
    </row>
    <row r="13" spans="1:3" ht="15.75" customHeight="1" x14ac:dyDescent="0.25">
      <c r="A13" s="14"/>
      <c r="B13" s="33" t="s">
        <v>26</v>
      </c>
      <c r="C13" s="31">
        <v>293257779</v>
      </c>
    </row>
    <row r="14" spans="1:3" ht="22.5" customHeight="1" x14ac:dyDescent="0.25">
      <c r="A14" s="14"/>
      <c r="B14" s="33" t="s">
        <v>14</v>
      </c>
      <c r="C14" s="31">
        <v>535355314</v>
      </c>
    </row>
    <row r="15" spans="1:3" ht="44.25" customHeight="1" x14ac:dyDescent="0.25">
      <c r="A15" s="13"/>
      <c r="B15" s="33" t="s">
        <v>33</v>
      </c>
      <c r="C15" s="31">
        <v>60660434</v>
      </c>
    </row>
    <row r="16" spans="1:3" ht="33.75" customHeight="1" x14ac:dyDescent="0.25">
      <c r="A16" s="13"/>
      <c r="B16" s="34" t="s">
        <v>27</v>
      </c>
      <c r="C16" s="35">
        <f>SUM(C18:C21)</f>
        <v>17603201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9024087</v>
      </c>
    </row>
    <row r="19" spans="1:3" ht="48" customHeight="1" x14ac:dyDescent="0.25">
      <c r="A19" s="13"/>
      <c r="B19" s="33" t="s">
        <v>22</v>
      </c>
      <c r="C19" s="31">
        <v>7755045</v>
      </c>
    </row>
    <row r="20" spans="1:3" ht="30" customHeight="1" x14ac:dyDescent="0.25">
      <c r="A20" s="13"/>
      <c r="B20" s="33" t="s">
        <v>20</v>
      </c>
      <c r="C20" s="31">
        <v>824069</v>
      </c>
    </row>
    <row r="21" spans="1:3" ht="20.25" customHeight="1" x14ac:dyDescent="0.25">
      <c r="A21" s="13"/>
      <c r="B21" s="33" t="s">
        <v>23</v>
      </c>
      <c r="C21" s="31"/>
    </row>
    <row r="22" spans="1:3" ht="22.5" customHeight="1" x14ac:dyDescent="0.25">
      <c r="A22" s="13"/>
      <c r="B22" s="34" t="s">
        <v>30</v>
      </c>
      <c r="C22" s="35">
        <v>14830149</v>
      </c>
    </row>
    <row r="23" spans="1:3" ht="75.75" customHeight="1" x14ac:dyDescent="0.25">
      <c r="A23" s="13"/>
      <c r="B23" s="34" t="s">
        <v>34</v>
      </c>
      <c r="C23" s="35">
        <v>947920</v>
      </c>
    </row>
    <row r="24" spans="1:3" ht="33" customHeight="1" x14ac:dyDescent="0.25">
      <c r="A24" s="13"/>
      <c r="B24" s="34" t="s">
        <v>15</v>
      </c>
      <c r="C24" s="35">
        <v>148851</v>
      </c>
    </row>
    <row r="25" spans="1:3" ht="19.5" customHeight="1" x14ac:dyDescent="0.25">
      <c r="A25" s="13"/>
      <c r="B25" s="34" t="s">
        <v>31</v>
      </c>
      <c r="C25" s="43">
        <v>804744456</v>
      </c>
    </row>
    <row r="26" spans="1:3" ht="18" customHeight="1" x14ac:dyDescent="0.25">
      <c r="A26" s="13"/>
      <c r="B26" s="34" t="s">
        <v>28</v>
      </c>
      <c r="C26" s="35"/>
    </row>
    <row r="27" spans="1:3" ht="18.75" customHeight="1" x14ac:dyDescent="0.25">
      <c r="A27" s="13"/>
      <c r="B27" s="34" t="s">
        <v>29</v>
      </c>
      <c r="C27" s="35">
        <v>315785</v>
      </c>
    </row>
    <row r="28" spans="1:3" ht="30" customHeight="1" thickBot="1" x14ac:dyDescent="0.3">
      <c r="A28" s="13"/>
      <c r="B28" s="17" t="s">
        <v>16</v>
      </c>
      <c r="C28" s="25">
        <v>3046046</v>
      </c>
    </row>
    <row r="29" spans="1:3" ht="23.25" customHeight="1" thickBot="1" x14ac:dyDescent="0.25">
      <c r="A29" s="6" t="s">
        <v>3</v>
      </c>
      <c r="B29" s="7" t="s">
        <v>7</v>
      </c>
      <c r="C29" s="26">
        <f>SUM(C31:C33)</f>
        <v>2349942607</v>
      </c>
    </row>
    <row r="30" spans="1:3" ht="15" customHeight="1" x14ac:dyDescent="0.25">
      <c r="A30" s="15"/>
      <c r="B30" s="12" t="s">
        <v>5</v>
      </c>
      <c r="C30" s="27"/>
    </row>
    <row r="31" spans="1:3" ht="18" customHeight="1" x14ac:dyDescent="0.25">
      <c r="A31" s="16"/>
      <c r="B31" s="39" t="s">
        <v>17</v>
      </c>
      <c r="C31" s="40">
        <v>1971150000</v>
      </c>
    </row>
    <row r="32" spans="1:3" ht="18" customHeight="1" x14ac:dyDescent="0.25">
      <c r="A32" s="16"/>
      <c r="B32" s="34" t="s">
        <v>18</v>
      </c>
      <c r="C32" s="41">
        <v>370000000</v>
      </c>
    </row>
    <row r="33" spans="1:3" ht="30" customHeight="1" thickBot="1" x14ac:dyDescent="0.3">
      <c r="A33" s="16"/>
      <c r="B33" s="17" t="s">
        <v>19</v>
      </c>
      <c r="C33" s="28">
        <v>8792607</v>
      </c>
    </row>
    <row r="34" spans="1:3" s="4" customFormat="1" ht="30" customHeight="1" thickBot="1" x14ac:dyDescent="0.2">
      <c r="A34" s="20" t="s">
        <v>4</v>
      </c>
      <c r="B34" s="21" t="s">
        <v>10</v>
      </c>
      <c r="C34" s="22">
        <f>SUM(C4+C5-C29)</f>
        <v>26580657857</v>
      </c>
    </row>
    <row r="35" spans="1:3" ht="63" customHeight="1" x14ac:dyDescent="0.2">
      <c r="A35" s="44" t="s">
        <v>36</v>
      </c>
      <c r="B35" s="44"/>
      <c r="C35" s="44"/>
    </row>
    <row r="37" spans="1:3" ht="15.75" customHeight="1" x14ac:dyDescent="0.2">
      <c r="C37" s="42"/>
    </row>
  </sheetData>
  <mergeCells count="1">
    <mergeCell ref="A35:C35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0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1.09.19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Айгуль Сулейменова Сатыбаевна</cp:lastModifiedBy>
  <cp:lastPrinted>2019-09-02T11:13:36Z</cp:lastPrinted>
  <dcterms:created xsi:type="dcterms:W3CDTF">2006-08-21T03:40:51Z</dcterms:created>
  <dcterms:modified xsi:type="dcterms:W3CDTF">2020-04-02T10:53:09Z</dcterms:modified>
</cp:coreProperties>
</file>