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20" yWindow="-120" windowWidth="29040" windowHeight="15840"/>
  </bookViews>
  <sheets>
    <sheet name="налоги" sheetId="1" r:id="rId1"/>
  </sheets>
  <definedNames>
    <definedName name="_xlnm.Print_Area" localSheetId="0">налоги!$A$1:$N$18</definedName>
  </definedNames>
  <calcPr calcId="144525"/>
</workbook>
</file>

<file path=xl/calcChain.xml><?xml version="1.0" encoding="utf-8"?>
<calcChain xmlns="http://schemas.openxmlformats.org/spreadsheetml/2006/main">
  <c r="N12" i="1" l="1"/>
  <c r="N18" i="1" s="1"/>
  <c r="M12" i="1" l="1"/>
  <c r="M18" i="1" s="1"/>
  <c r="L12" i="1" l="1"/>
  <c r="L18" i="1" s="1"/>
  <c r="K12" i="1" l="1"/>
  <c r="K18" i="1" s="1"/>
  <c r="J12" i="1" l="1"/>
  <c r="J18" i="1" s="1"/>
  <c r="I12" i="1" l="1"/>
  <c r="I18" i="1" s="1"/>
  <c r="H12" i="1" l="1"/>
  <c r="H18" i="1" s="1"/>
  <c r="G12" i="1" l="1"/>
  <c r="G18" i="1" s="1"/>
  <c r="F12" i="1" l="1"/>
  <c r="F18" i="1" s="1"/>
  <c r="E12" i="1" l="1"/>
  <c r="E18" i="1" s="1"/>
  <c r="D12" i="1" l="1"/>
  <c r="D18" i="1" s="1"/>
  <c r="C12" i="1" l="1"/>
  <c r="C18" i="1" s="1"/>
</calcChain>
</file>

<file path=xl/sharedStrings.xml><?xml version="1.0" encoding="utf-8"?>
<sst xmlns="http://schemas.openxmlformats.org/spreadsheetml/2006/main" count="29" uniqueCount="29">
  <si>
    <t>Налоговые поступления</t>
  </si>
  <si>
    <t>Корпоративный подоходный налог с юридических лиц-организаций нефтяного сектора</t>
  </si>
  <si>
    <t>Налог на сверхприбыль от организаций нефтяного сектора</t>
  </si>
  <si>
    <t>Бонусы от организаций нефт. сектора</t>
  </si>
  <si>
    <t>Налог на добычу полезных ископаемых от организаций нефтяного сектора</t>
  </si>
  <si>
    <t>Рентный налог на экспорт.сырую нефть, газ.конденсат, от предприятий неф.сектора</t>
  </si>
  <si>
    <t>Доля РК по разделу прод. по закл. контр. от организ. нефтяного сектора</t>
  </si>
  <si>
    <t>ИТОГО по налоговым поступлениям</t>
  </si>
  <si>
    <t>Административные штрафы, пени, санкции, взыскания, налагаемые центральными госорганами, их территориальными подразделениями, на предприятия нефтяного сектора</t>
  </si>
  <si>
    <t>Прочие штрафы, пени, санкции, взыскания, налагаемые гос.учрежд., финансир. из респ.бюджета, на предпр. нефтяного сектора(204202)</t>
  </si>
  <si>
    <t>Средства, получ.от природопольз.по искам о возмещ.вреда организ.нефт.сект.</t>
  </si>
  <si>
    <t>Другие неналоговые поступ.от предпр. нефтяного сектора</t>
  </si>
  <si>
    <t>Поступления от продажи земельных участков сельскохозяйственного назначения</t>
  </si>
  <si>
    <t>ИТОГО по указанным позициям</t>
  </si>
  <si>
    <t>тыс.тенге</t>
  </si>
  <si>
    <t>Доп.платеж недропользователя, осуществл.деят.по контракту о разделе продукции, от организаций нефт.сект.</t>
  </si>
  <si>
    <t>январь</t>
  </si>
  <si>
    <t>Поступление налогов и платежей в Национальный фонд Республики Казахстан по видам налогов и платежей за 2022 год</t>
  </si>
  <si>
    <t>январь-февраль</t>
  </si>
  <si>
    <t xml:space="preserve"> январь-апрель</t>
  </si>
  <si>
    <t xml:space="preserve"> январь-          март</t>
  </si>
  <si>
    <t xml:space="preserve">  январь-        май</t>
  </si>
  <si>
    <t xml:space="preserve">  январь-        июнь</t>
  </si>
  <si>
    <t xml:space="preserve">  январь-        июль</t>
  </si>
  <si>
    <t xml:space="preserve">  январь-        август</t>
  </si>
  <si>
    <t xml:space="preserve">  январь-сентябрь</t>
  </si>
  <si>
    <t xml:space="preserve">  январь-октябрь</t>
  </si>
  <si>
    <t xml:space="preserve">  январь-ноябрь</t>
  </si>
  <si>
    <t xml:space="preserve">  январь-декабрь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</si>
</sst>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[Red]\-#,##0\ "/>
    <numFmt numFmtId="165" formatCode="#,##0_ ;\-#,##0\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3">
    <xf numFmtId="0" fontId="0" fillId="0" borderId="0" xfId="0"/>
    <xf numFmtId="0" fontId="19" fillId="0" borderId="0" xfId="1" applyFont="1" applyAlignment="1">
      <alignment vertical="center"/>
    </xf>
    <xf numFmtId="0" fontId="19" fillId="0" borderId="0" xfId="1" applyFont="1" applyAlignment="1">
      <alignment horizontal="right" vertical="center"/>
    </xf>
    <xf numFmtId="165" fontId="20" fillId="2" borderId="1" xfId="1" applyNumberFormat="1" applyFont="1" applyFill="1" applyBorder="1" applyAlignment="1">
      <alignment horizontal="left" vertical="center" wrapText="1"/>
    </xf>
    <xf numFmtId="0" fontId="19" fillId="0" borderId="1" xfId="1" applyFont="1" applyBorder="1" applyAlignment="1">
      <alignment horizontal="left" vertical="center" wrapText="1"/>
    </xf>
    <xf numFmtId="0" fontId="19" fillId="0" borderId="1" xfId="1" quotePrefix="1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9" fillId="0" borderId="0" xfId="1" applyFont="1" applyAlignment="1">
      <alignment horizontal="left" vertical="center"/>
    </xf>
    <xf numFmtId="164" fontId="22" fillId="0" borderId="0" xfId="1" applyNumberFormat="1" applyFont="1" applyAlignment="1">
      <alignment horizontal="center" vertical="center" wrapText="1"/>
    </xf>
    <xf numFmtId="0" fontId="20" fillId="0" borderId="1" xfId="1" applyFont="1" applyBorder="1" applyAlignment="1">
      <alignment horizontal="center" vertical="center"/>
    </xf>
    <xf numFmtId="0" fontId="20" fillId="0" borderId="1" xfId="1" applyFont="1" applyBorder="1" applyAlignment="1">
      <alignment horizontal="left" vertical="center" wrapText="1"/>
    </xf>
    <xf numFmtId="0" fontId="22" fillId="0" borderId="1" xfId="1" applyFont="1" applyBorder="1" applyAlignment="1">
      <alignment horizontal="left" vertical="center" wrapText="1"/>
    </xf>
    <xf numFmtId="3" fontId="23" fillId="0" borderId="1" xfId="0" applyNumberFormat="1" applyFont="1" applyBorder="1" applyAlignment="1">
      <alignment vertical="center"/>
    </xf>
    <xf numFmtId="3" fontId="23" fillId="2" borderId="1" xfId="0" applyNumberFormat="1" applyFont="1" applyFill="1" applyBorder="1" applyAlignment="1">
      <alignment vertical="center"/>
    </xf>
    <xf numFmtId="165" fontId="22" fillId="2" borderId="1" xfId="1" applyNumberFormat="1" applyFont="1" applyFill="1" applyBorder="1" applyAlignment="1">
      <alignment vertical="center" wrapText="1"/>
    </xf>
    <xf numFmtId="165" fontId="22" fillId="0" borderId="1" xfId="1" applyNumberFormat="1" applyFont="1" applyBorder="1" applyAlignment="1">
      <alignment vertical="center"/>
    </xf>
    <xf numFmtId="0" fontId="23" fillId="2" borderId="1" xfId="0" applyFont="1" applyFill="1" applyBorder="1" applyAlignment="1">
      <alignment vertical="center"/>
    </xf>
    <xf numFmtId="0" fontId="20" fillId="0" borderId="1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Continuous" vertical="center" wrapText="1"/>
    </xf>
    <xf numFmtId="3" fontId="24" fillId="0" borderId="1" xfId="14" applyNumberFormat="1" applyFont="1" applyBorder="1" applyAlignment="1">
      <alignment horizontal="right" vertical="center"/>
    </xf>
    <xf numFmtId="3" fontId="24" fillId="0" borderId="1" xfId="15" applyNumberFormat="1" applyFont="1" applyBorder="1" applyAlignment="1">
      <alignment horizontal="right" vertical="center"/>
    </xf>
    <xf numFmtId="2" fontId="22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9">
    <cellStyle name="Обычный" xfId="0" builtinId="0"/>
    <cellStyle name="Обычный 10" xfId="11"/>
    <cellStyle name="Обычный 10 2 2 2 2 2 2" xfId="3"/>
    <cellStyle name="Обычный 11" xfId="12"/>
    <cellStyle name="Обычный 12" xfId="13"/>
    <cellStyle name="Обычный 13" xfId="14"/>
    <cellStyle name="Обычный 14" xfId="15"/>
    <cellStyle name="Обычный 15" xfId="16"/>
    <cellStyle name="Обычный 16" xfId="17"/>
    <cellStyle name="Обычный 17" xfId="18"/>
    <cellStyle name="Обычный 2" xfId="2"/>
    <cellStyle name="Обычный 3" xfId="4"/>
    <cellStyle name="Обычный 4" xfId="5"/>
    <cellStyle name="Обычный 5" xfId="6"/>
    <cellStyle name="Обычный 6" xfId="7"/>
    <cellStyle name="Обычный 7" xfId="8"/>
    <cellStyle name="Обычный 8" xfId="9"/>
    <cellStyle name="Обычный 9" xfId="10"/>
    <cellStyle name="Обычный_31.12.03 - налоги-нов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topLeftCell="E1" zoomScaleNormal="100" workbookViewId="0">
      <selection activeCell="Q5" sqref="Q5"/>
    </sheetView>
  </sheetViews>
  <sheetFormatPr defaultRowHeight="12.75" x14ac:dyDescent="0.25"/>
  <cols>
    <col min="1" max="1" width="9.140625" style="1" customWidth="1"/>
    <col min="2" max="2" width="48" style="7" customWidth="1"/>
    <col min="3" max="3" width="13.85546875" style="7" customWidth="1"/>
    <col min="4" max="4" width="12.5703125" style="1" customWidth="1"/>
    <col min="5" max="5" width="14" style="1" customWidth="1"/>
    <col min="6" max="6" width="13.42578125" style="1" bestFit="1" customWidth="1"/>
    <col min="7" max="7" width="13.140625" style="1" customWidth="1"/>
    <col min="8" max="8" width="13.42578125" style="1" bestFit="1" customWidth="1"/>
    <col min="9" max="10" width="14.28515625" style="1" bestFit="1" customWidth="1"/>
    <col min="11" max="11" width="13.5703125" style="1" customWidth="1"/>
    <col min="12" max="12" width="15.5703125" style="1" bestFit="1" customWidth="1"/>
    <col min="13" max="13" width="13.42578125" style="1" bestFit="1" customWidth="1"/>
    <col min="14" max="14" width="14.28515625" style="1" bestFit="1" customWidth="1"/>
    <col min="15" max="16384" width="9.140625" style="1"/>
  </cols>
  <sheetData>
    <row r="1" spans="1:14" ht="58.5" customHeight="1" x14ac:dyDescent="0.25">
      <c r="B1" s="21" t="s">
        <v>17</v>
      </c>
      <c r="C1" s="21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x14ac:dyDescent="0.25">
      <c r="B2" s="8"/>
      <c r="N2" s="2" t="s">
        <v>14</v>
      </c>
    </row>
    <row r="3" spans="1:14" ht="31.5" customHeight="1" x14ac:dyDescent="0.25">
      <c r="B3" s="9"/>
      <c r="C3" s="17" t="s">
        <v>16</v>
      </c>
      <c r="D3" s="18" t="s">
        <v>18</v>
      </c>
      <c r="E3" s="18" t="s">
        <v>20</v>
      </c>
      <c r="F3" s="18" t="s">
        <v>19</v>
      </c>
      <c r="G3" s="18" t="s">
        <v>21</v>
      </c>
      <c r="H3" s="18" t="s">
        <v>22</v>
      </c>
      <c r="I3" s="18" t="s">
        <v>23</v>
      </c>
      <c r="J3" s="18" t="s">
        <v>24</v>
      </c>
      <c r="K3" s="18" t="s">
        <v>25</v>
      </c>
      <c r="L3" s="18" t="s">
        <v>26</v>
      </c>
      <c r="M3" s="18" t="s">
        <v>27</v>
      </c>
      <c r="N3" s="18" t="s">
        <v>28</v>
      </c>
    </row>
    <row r="4" spans="1:14" x14ac:dyDescent="0.25">
      <c r="B4" s="10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5.5" x14ac:dyDescent="0.25">
      <c r="A5" s="1">
        <v>101105</v>
      </c>
      <c r="B5" s="4" t="s">
        <v>1</v>
      </c>
      <c r="C5" s="12">
        <v>252085377</v>
      </c>
      <c r="D5" s="12">
        <v>348792285</v>
      </c>
      <c r="E5" s="12">
        <v>472358035</v>
      </c>
      <c r="F5" s="12">
        <v>673239265</v>
      </c>
      <c r="G5" s="12">
        <v>794122252</v>
      </c>
      <c r="H5" s="12">
        <v>949737258</v>
      </c>
      <c r="I5" s="12">
        <v>1171363722</v>
      </c>
      <c r="J5" s="12">
        <v>1341943980</v>
      </c>
      <c r="K5" s="12">
        <v>1534827007</v>
      </c>
      <c r="L5" s="12">
        <v>1706652243</v>
      </c>
      <c r="M5" s="12">
        <v>1903186641</v>
      </c>
      <c r="N5" s="12">
        <v>2266198202</v>
      </c>
    </row>
    <row r="6" spans="1:14" ht="25.5" x14ac:dyDescent="0.25">
      <c r="A6" s="1">
        <v>105322</v>
      </c>
      <c r="B6" s="5" t="s">
        <v>2</v>
      </c>
      <c r="C6" s="12">
        <v>50000</v>
      </c>
      <c r="D6" s="12">
        <v>129233</v>
      </c>
      <c r="E6" s="12">
        <v>3436859</v>
      </c>
      <c r="F6" s="12">
        <v>91280471</v>
      </c>
      <c r="G6" s="12">
        <v>91604481</v>
      </c>
      <c r="H6" s="12">
        <v>92283457</v>
      </c>
      <c r="I6" s="12">
        <v>92329844</v>
      </c>
      <c r="J6" s="12">
        <v>92646471</v>
      </c>
      <c r="K6" s="12">
        <v>96032137</v>
      </c>
      <c r="L6" s="12">
        <v>96013549</v>
      </c>
      <c r="M6" s="12">
        <v>96413549</v>
      </c>
      <c r="N6" s="12">
        <v>99976807</v>
      </c>
    </row>
    <row r="7" spans="1:14" ht="18.75" customHeight="1" x14ac:dyDescent="0.25">
      <c r="A7" s="1">
        <v>105325</v>
      </c>
      <c r="B7" s="4" t="s">
        <v>3</v>
      </c>
      <c r="C7" s="12">
        <v>90007</v>
      </c>
      <c r="D7" s="12">
        <v>186277</v>
      </c>
      <c r="E7" s="12">
        <v>1600240</v>
      </c>
      <c r="F7" s="12">
        <v>1600240</v>
      </c>
      <c r="G7" s="12">
        <v>1600240</v>
      </c>
      <c r="H7" s="12">
        <v>2110814</v>
      </c>
      <c r="I7" s="12">
        <v>2111598</v>
      </c>
      <c r="J7" s="12">
        <v>5591065</v>
      </c>
      <c r="K7" s="12">
        <v>6445293</v>
      </c>
      <c r="L7" s="12">
        <v>6445293</v>
      </c>
      <c r="M7" s="12">
        <v>6445614</v>
      </c>
      <c r="N7" s="12">
        <v>7847632</v>
      </c>
    </row>
    <row r="8" spans="1:14" ht="25.5" x14ac:dyDescent="0.25">
      <c r="A8" s="1">
        <v>105326</v>
      </c>
      <c r="B8" s="4" t="s">
        <v>4</v>
      </c>
      <c r="C8" s="12">
        <v>443610</v>
      </c>
      <c r="D8" s="12">
        <v>226439820</v>
      </c>
      <c r="E8" s="12">
        <v>228221855</v>
      </c>
      <c r="F8" s="12">
        <v>969431895</v>
      </c>
      <c r="G8" s="12">
        <v>1059926062</v>
      </c>
      <c r="H8" s="12">
        <v>1061757719</v>
      </c>
      <c r="I8" s="12">
        <v>1063453358</v>
      </c>
      <c r="J8" s="12">
        <v>1386272525</v>
      </c>
      <c r="K8" s="12">
        <v>1386572759</v>
      </c>
      <c r="L8" s="12">
        <v>1386792236</v>
      </c>
      <c r="M8" s="12">
        <v>1546160527</v>
      </c>
      <c r="N8" s="12">
        <v>1582031493</v>
      </c>
    </row>
    <row r="9" spans="1:14" ht="27.75" customHeight="1" x14ac:dyDescent="0.25">
      <c r="A9" s="1">
        <v>105327</v>
      </c>
      <c r="B9" s="4" t="s">
        <v>5</v>
      </c>
      <c r="C9" s="12">
        <v>1336343</v>
      </c>
      <c r="D9" s="12">
        <v>66907843</v>
      </c>
      <c r="E9" s="12">
        <v>69331299</v>
      </c>
      <c r="F9" s="12">
        <v>69124351</v>
      </c>
      <c r="G9" s="12">
        <v>258857865</v>
      </c>
      <c r="H9" s="12">
        <v>259157098</v>
      </c>
      <c r="I9" s="12">
        <v>261842844</v>
      </c>
      <c r="J9" s="12">
        <v>471415083</v>
      </c>
      <c r="K9" s="12">
        <v>473094324</v>
      </c>
      <c r="L9" s="12">
        <v>474225055</v>
      </c>
      <c r="M9" s="12">
        <v>691383941</v>
      </c>
      <c r="N9" s="12">
        <v>751053008</v>
      </c>
    </row>
    <row r="10" spans="1:14" ht="25.5" x14ac:dyDescent="0.25">
      <c r="A10" s="1">
        <v>105328</v>
      </c>
      <c r="B10" s="5" t="s">
        <v>6</v>
      </c>
      <c r="C10" s="12">
        <v>315497</v>
      </c>
      <c r="D10" s="12">
        <v>217815362</v>
      </c>
      <c r="E10" s="12">
        <v>217985362</v>
      </c>
      <c r="F10" s="12">
        <v>238529565</v>
      </c>
      <c r="G10" s="12">
        <v>568988055</v>
      </c>
      <c r="H10" s="12">
        <v>583603979</v>
      </c>
      <c r="I10" s="12">
        <v>603892945</v>
      </c>
      <c r="J10" s="12">
        <v>1071898920</v>
      </c>
      <c r="K10" s="12">
        <v>1072078920</v>
      </c>
      <c r="L10" s="12">
        <v>1072230920</v>
      </c>
      <c r="M10" s="12">
        <v>1477327235</v>
      </c>
      <c r="N10" s="12">
        <v>1477397235</v>
      </c>
    </row>
    <row r="11" spans="1:14" ht="38.25" x14ac:dyDescent="0.25">
      <c r="A11" s="1">
        <v>105329</v>
      </c>
      <c r="B11" s="5" t="s">
        <v>15</v>
      </c>
      <c r="C11" s="13">
        <v>0</v>
      </c>
      <c r="D11" s="13">
        <v>56590462</v>
      </c>
      <c r="E11" s="13">
        <v>57178107</v>
      </c>
      <c r="F11" s="12">
        <v>59719481</v>
      </c>
      <c r="G11" s="12">
        <v>127445141</v>
      </c>
      <c r="H11" s="12">
        <v>127445141</v>
      </c>
      <c r="I11" s="12">
        <v>191945811</v>
      </c>
      <c r="J11" s="12">
        <v>191945811</v>
      </c>
      <c r="K11" s="12">
        <v>191945811</v>
      </c>
      <c r="L11" s="12">
        <v>191945811</v>
      </c>
      <c r="M11" s="12">
        <v>213862067</v>
      </c>
      <c r="N11" s="12">
        <v>213862067</v>
      </c>
    </row>
    <row r="12" spans="1:14" x14ac:dyDescent="0.25">
      <c r="B12" s="10" t="s">
        <v>7</v>
      </c>
      <c r="C12" s="14">
        <f t="shared" ref="C12:E12" si="0">SUM(C5:C11)</f>
        <v>254320834</v>
      </c>
      <c r="D12" s="14">
        <f t="shared" si="0"/>
        <v>916861282</v>
      </c>
      <c r="E12" s="14">
        <f t="shared" si="0"/>
        <v>1050111757</v>
      </c>
      <c r="F12" s="14">
        <f t="shared" ref="F12:G12" si="1">SUM(F5:F11)</f>
        <v>2102925268</v>
      </c>
      <c r="G12" s="14">
        <f t="shared" si="1"/>
        <v>2902544096</v>
      </c>
      <c r="H12" s="14">
        <f t="shared" ref="H12:I12" si="2">SUM(H5:H11)</f>
        <v>3076095466</v>
      </c>
      <c r="I12" s="14">
        <f t="shared" si="2"/>
        <v>3386940122</v>
      </c>
      <c r="J12" s="14">
        <f t="shared" ref="J12" si="3">SUM(J5:J11)</f>
        <v>4561713855</v>
      </c>
      <c r="K12" s="14">
        <f t="shared" ref="K12:L12" si="4">SUM(K5:K11)</f>
        <v>4760996251</v>
      </c>
      <c r="L12" s="14">
        <f t="shared" si="4"/>
        <v>4934305107</v>
      </c>
      <c r="M12" s="14">
        <f t="shared" ref="M12:N12" si="5">SUM(M5:M11)</f>
        <v>5934779574</v>
      </c>
      <c r="N12" s="14">
        <f t="shared" si="5"/>
        <v>6398366444</v>
      </c>
    </row>
    <row r="13" spans="1:14" ht="51" x14ac:dyDescent="0.25">
      <c r="A13" s="1">
        <v>204201</v>
      </c>
      <c r="B13" s="4" t="s">
        <v>8</v>
      </c>
      <c r="C13" s="12">
        <v>143472</v>
      </c>
      <c r="D13" s="12">
        <v>154735</v>
      </c>
      <c r="E13" s="12">
        <v>179484</v>
      </c>
      <c r="F13" s="12">
        <v>190376</v>
      </c>
      <c r="G13" s="12">
        <v>328234</v>
      </c>
      <c r="H13" s="12">
        <v>353720</v>
      </c>
      <c r="I13" s="19">
        <v>377254</v>
      </c>
      <c r="J13" s="20">
        <v>393982</v>
      </c>
      <c r="K13" s="20">
        <v>414231</v>
      </c>
      <c r="L13" s="12">
        <v>424707</v>
      </c>
      <c r="M13" s="12">
        <v>465112</v>
      </c>
      <c r="N13" s="12">
        <v>521117</v>
      </c>
    </row>
    <row r="14" spans="1:14" ht="51" x14ac:dyDescent="0.25">
      <c r="A14" s="1">
        <v>204202</v>
      </c>
      <c r="B14" s="6" t="s">
        <v>9</v>
      </c>
      <c r="C14" s="12">
        <v>88372</v>
      </c>
      <c r="D14" s="12">
        <v>261188</v>
      </c>
      <c r="E14" s="12">
        <v>569643</v>
      </c>
      <c r="F14" s="12">
        <v>904229</v>
      </c>
      <c r="G14" s="12">
        <v>941870</v>
      </c>
      <c r="H14" s="12">
        <v>1372585</v>
      </c>
      <c r="I14" s="19">
        <v>1372891</v>
      </c>
      <c r="J14" s="20">
        <v>1374808</v>
      </c>
      <c r="K14" s="20">
        <v>1637687</v>
      </c>
      <c r="L14" s="12">
        <v>1750543</v>
      </c>
      <c r="M14" s="12">
        <v>2512184</v>
      </c>
      <c r="N14" s="12">
        <v>2711884</v>
      </c>
    </row>
    <row r="15" spans="1:14" ht="25.5" x14ac:dyDescent="0.25">
      <c r="A15" s="1">
        <v>204203</v>
      </c>
      <c r="B15" s="6" t="s">
        <v>10</v>
      </c>
      <c r="C15" s="12">
        <v>141283</v>
      </c>
      <c r="D15" s="12">
        <v>163865</v>
      </c>
      <c r="E15" s="12">
        <v>163865</v>
      </c>
      <c r="F15" s="12">
        <v>195726</v>
      </c>
      <c r="G15" s="12">
        <v>311389</v>
      </c>
      <c r="H15" s="12">
        <v>311389</v>
      </c>
      <c r="I15" s="19">
        <v>323516</v>
      </c>
      <c r="J15" s="20">
        <v>653992</v>
      </c>
      <c r="K15" s="20">
        <v>656400</v>
      </c>
      <c r="L15" s="12">
        <v>656400</v>
      </c>
      <c r="M15" s="12">
        <v>656754</v>
      </c>
      <c r="N15" s="12">
        <v>656754</v>
      </c>
    </row>
    <row r="16" spans="1:14" ht="25.5" x14ac:dyDescent="0.25">
      <c r="A16" s="1">
        <v>206111</v>
      </c>
      <c r="B16" s="6" t="s">
        <v>11</v>
      </c>
      <c r="C16" s="16">
        <v>0</v>
      </c>
      <c r="D16" s="16">
        <v>0</v>
      </c>
      <c r="E16" s="16"/>
      <c r="F16" s="12">
        <v>178307</v>
      </c>
      <c r="G16" s="12">
        <v>178307</v>
      </c>
      <c r="H16" s="12">
        <v>179532</v>
      </c>
      <c r="I16" s="19">
        <v>185717</v>
      </c>
      <c r="J16" s="20">
        <v>185717</v>
      </c>
      <c r="K16" s="20">
        <v>185717</v>
      </c>
      <c r="L16" s="12">
        <v>185717</v>
      </c>
      <c r="M16" s="12">
        <v>190017</v>
      </c>
      <c r="N16" s="12">
        <v>195530</v>
      </c>
    </row>
    <row r="17" spans="1:14" ht="25.5" x14ac:dyDescent="0.25">
      <c r="A17" s="1">
        <v>303102</v>
      </c>
      <c r="B17" s="4" t="s">
        <v>12</v>
      </c>
      <c r="C17" s="12">
        <v>4701</v>
      </c>
      <c r="D17" s="12">
        <v>35797</v>
      </c>
      <c r="E17" s="12">
        <v>41590</v>
      </c>
      <c r="F17" s="12">
        <v>55839</v>
      </c>
      <c r="G17" s="12">
        <v>62482</v>
      </c>
      <c r="H17" s="12">
        <v>64293</v>
      </c>
      <c r="I17" s="19">
        <v>67689</v>
      </c>
      <c r="J17" s="20">
        <v>69142</v>
      </c>
      <c r="K17" s="20">
        <v>74006</v>
      </c>
      <c r="L17" s="12">
        <v>79381</v>
      </c>
      <c r="M17" s="12">
        <v>86097</v>
      </c>
      <c r="N17" s="12">
        <v>99373</v>
      </c>
    </row>
    <row r="18" spans="1:14" x14ac:dyDescent="0.25">
      <c r="B18" s="11" t="s">
        <v>13</v>
      </c>
      <c r="C18" s="15">
        <f t="shared" ref="C18:E18" si="6">SUM(C12:C17)</f>
        <v>254698662</v>
      </c>
      <c r="D18" s="15">
        <f t="shared" si="6"/>
        <v>917476867</v>
      </c>
      <c r="E18" s="15">
        <f t="shared" si="6"/>
        <v>1051066339</v>
      </c>
      <c r="F18" s="15">
        <f t="shared" ref="F18:G18" si="7">SUM(F12:F17)</f>
        <v>2104449745</v>
      </c>
      <c r="G18" s="15">
        <f t="shared" si="7"/>
        <v>2904366378</v>
      </c>
      <c r="H18" s="15">
        <f t="shared" ref="H18:I18" si="8">SUM(H12:H17)</f>
        <v>3078376985</v>
      </c>
      <c r="I18" s="15">
        <f t="shared" si="8"/>
        <v>3389267189</v>
      </c>
      <c r="J18" s="15">
        <f t="shared" ref="J18" si="9">SUM(J12:J17)</f>
        <v>4564391496</v>
      </c>
      <c r="K18" s="15">
        <f t="shared" ref="K18:L18" si="10">SUM(K12:K17)</f>
        <v>4763964292</v>
      </c>
      <c r="L18" s="15">
        <f t="shared" si="10"/>
        <v>4937401855</v>
      </c>
      <c r="M18" s="15">
        <f t="shared" ref="M18:N18" si="11">SUM(M12:M17)</f>
        <v>5938689738</v>
      </c>
      <c r="N18" s="15">
        <f t="shared" si="11"/>
        <v>6402551102</v>
      </c>
    </row>
  </sheetData>
  <mergeCells count="1">
    <mergeCell ref="B1:N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налоги</vt:lpstr>
      <vt:lpstr>налоги!Область_печати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2023-01-10T05:47:43Z</dcterms:modified>
</cp:coreProperties>
</file>