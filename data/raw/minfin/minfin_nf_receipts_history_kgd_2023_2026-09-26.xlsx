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0935"/>
  </bookViews>
  <sheets>
    <sheet name="налоги" sheetId="1" r:id="rId1"/>
  </sheets>
  <definedNames>
    <definedName name="_xlnm.Print_Area" localSheetId="0">налоги!$A$1:$H$18</definedName>
  </definedNames>
  <calcPr calcId="152511"/>
</workbook>
</file>

<file path=xl/calcChain.xml><?xml version="1.0" encoding="utf-8"?>
<calcChain xmlns="http://schemas.openxmlformats.org/spreadsheetml/2006/main">
  <c r="N12" i="1" l="1"/>
  <c r="N18" i="1" s="1"/>
  <c r="M12" i="1"/>
  <c r="M18" i="1" s="1"/>
  <c r="L12" i="1" l="1"/>
  <c r="L18" i="1" s="1"/>
  <c r="K12" i="1" l="1"/>
  <c r="K18" i="1" s="1"/>
  <c r="J12" i="1" l="1"/>
  <c r="J18" i="1" s="1"/>
  <c r="I12" i="1" l="1"/>
  <c r="I18" i="1" s="1"/>
  <c r="H18" i="1" l="1"/>
  <c r="H12" i="1"/>
  <c r="G12" i="1" l="1"/>
  <c r="G18" i="1" s="1"/>
  <c r="F12" i="1" l="1"/>
  <c r="F18" i="1" s="1"/>
  <c r="E12" i="1" l="1"/>
  <c r="E18" i="1" s="1"/>
  <c r="D12" i="1" l="1"/>
  <c r="D18" i="1" s="1"/>
  <c r="C12" i="1" l="1"/>
  <c r="C18" i="1" s="1"/>
</calcChain>
</file>

<file path=xl/sharedStrings.xml><?xml version="1.0" encoding="utf-8"?>
<sst xmlns="http://schemas.openxmlformats.org/spreadsheetml/2006/main" count="29" uniqueCount="29">
  <si>
    <t>Налоговые поступления</t>
  </si>
  <si>
    <t>Корпоративный подоходный налог с юридических лиц-организаций нефтяного сектора</t>
  </si>
  <si>
    <t>Налог на сверхприбыль от организаций нефтяного сектора</t>
  </si>
  <si>
    <t>Бонусы от организаций нефт. сектора</t>
  </si>
  <si>
    <t>Налог на добычу полезных ископаемых от организаций нефтяного сектора</t>
  </si>
  <si>
    <t>Рентный налог на экспорт.сырую нефть, газ.конденсат, от предприятий неф.сектора</t>
  </si>
  <si>
    <t>Доля РК по разделу прод. по закл. контр. от организ. нефтяного сектора</t>
  </si>
  <si>
    <t>ИТОГО по налоговым поступлениям</t>
  </si>
  <si>
    <t>Административные штрафы, пени, санкции, взыскания, налагаемые центральными госорганами, их территориальными подразделениями, на предприятия нефтяного сектора</t>
  </si>
  <si>
    <t>Прочие штрафы, пени, санкции, взыскания, налагаемые гос.учрежд., финансир. из респ.бюджета, на предпр. нефтяного сектора(204202)</t>
  </si>
  <si>
    <t>Средства, получ.от природопольз.по искам о возмещ.вреда организ.нефт.сект.</t>
  </si>
  <si>
    <t>Другие неналоговые поступ.от предпр. нефтяного сектора</t>
  </si>
  <si>
    <t>Поступления от продажи земельных участков сельскохозяйственного назначения</t>
  </si>
  <si>
    <t>ИТОГО по указанным позициям</t>
  </si>
  <si>
    <t>тыс.тенге</t>
  </si>
  <si>
    <t>Доп.платеж недропользователя, осуществл.деят.по контракту о разделе продукции, от организаций нефт.сект.</t>
  </si>
  <si>
    <t>январь</t>
  </si>
  <si>
    <t>Поступление налогов и платежей в Национальный фонд Республики Казахстан по видам налогов и платежей за 2023 год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</si>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</sst>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[Red]\-#,##0\ "/>
    <numFmt numFmtId="165" formatCode="#,##0_ ;\-#,##0\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2">
    <xf numFmtId="0" fontId="0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1">
    <xf numFmtId="0" fontId="0" fillId="0" borderId="0" xfId="0"/>
    <xf numFmtId="0" fontId="22" fillId="0" borderId="0" xfId="1" applyFont="1" applyAlignment="1">
      <alignment vertical="center"/>
    </xf>
    <xf numFmtId="0" fontId="22" fillId="0" borderId="0" xfId="1" applyFont="1" applyAlignment="1">
      <alignment horizontal="right" vertical="center"/>
    </xf>
    <xf numFmtId="165" fontId="23" fillId="2" borderId="1" xfId="1" applyNumberFormat="1" applyFont="1" applyFill="1" applyBorder="1" applyAlignment="1">
      <alignment horizontal="left" vertical="center" wrapText="1"/>
    </xf>
    <xf numFmtId="0" fontId="22" fillId="0" borderId="1" xfId="1" applyFont="1" applyBorder="1" applyAlignment="1">
      <alignment horizontal="left" vertical="center" wrapText="1"/>
    </xf>
    <xf numFmtId="0" fontId="22" fillId="0" borderId="1" xfId="1" quotePrefix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2" fillId="0" borderId="0" xfId="1" applyFont="1" applyAlignment="1">
      <alignment horizontal="left" vertical="center"/>
    </xf>
    <xf numFmtId="164" fontId="25" fillId="0" borderId="0" xfId="1" applyNumberFormat="1" applyFont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165" fontId="25" fillId="2" borderId="1" xfId="1" applyNumberFormat="1" applyFont="1" applyFill="1" applyBorder="1" applyAlignment="1">
      <alignment vertical="center" wrapText="1"/>
    </xf>
    <xf numFmtId="165" fontId="25" fillId="0" borderId="1" xfId="1" applyNumberFormat="1" applyFont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0" fontId="23" fillId="0" borderId="1" xfId="1" applyFont="1" applyBorder="1" applyAlignment="1">
      <alignment horizontal="center" vertical="center" wrapText="1"/>
    </xf>
    <xf numFmtId="3" fontId="26" fillId="0" borderId="1" xfId="19" applyNumberFormat="1" applyFont="1" applyBorder="1" applyAlignment="1">
      <alignment horizontal="right" vertical="center"/>
    </xf>
    <xf numFmtId="0" fontId="26" fillId="0" borderId="1" xfId="19" applyFont="1" applyBorder="1" applyAlignment="1">
      <alignment horizontal="right" vertical="center"/>
    </xf>
    <xf numFmtId="2" fontId="25" fillId="0" borderId="0" xfId="1" applyNumberFormat="1" applyFont="1" applyAlignment="1">
      <alignment horizontal="center" vertical="center" wrapText="1"/>
    </xf>
    <xf numFmtId="3" fontId="27" fillId="0" borderId="2" xfId="0" applyNumberFormat="1" applyFont="1" applyBorder="1" applyAlignment="1">
      <alignment horizontal="right" vertical="center"/>
    </xf>
    <xf numFmtId="3" fontId="27" fillId="0" borderId="1" xfId="0" applyNumberFormat="1" applyFont="1" applyBorder="1" applyAlignment="1">
      <alignment horizontal="right" vertical="center"/>
    </xf>
  </cellXfs>
  <cellStyles count="22">
    <cellStyle name="Обычный" xfId="0" builtinId="0"/>
    <cellStyle name="Обычный 10" xfId="11"/>
    <cellStyle name="Обычный 10 2 2 2 2 2 2" xfId="3"/>
    <cellStyle name="Обычный 11" xfId="12"/>
    <cellStyle name="Обычный 12" xfId="13"/>
    <cellStyle name="Обычный 13" xfId="14"/>
    <cellStyle name="Обычный 14" xfId="15"/>
    <cellStyle name="Обычный 15" xfId="16"/>
    <cellStyle name="Обычный 16" xfId="17"/>
    <cellStyle name="Обычный 17" xfId="18"/>
    <cellStyle name="Обычный 18" xfId="19"/>
    <cellStyle name="Обычный 19" xfId="20"/>
    <cellStyle name="Обычный 2" xfId="2"/>
    <cellStyle name="Обычный 20" xfId="21"/>
    <cellStyle name="Обычный 3" xfId="4"/>
    <cellStyle name="Обычный 4" xfId="5"/>
    <cellStyle name="Обычный 5" xfId="6"/>
    <cellStyle name="Обычный 6" xfId="7"/>
    <cellStyle name="Обычный 7" xfId="8"/>
    <cellStyle name="Обычный 8" xfId="9"/>
    <cellStyle name="Обычный 9" xfId="10"/>
    <cellStyle name="Обычный_31.12.03 - налоги-нов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topLeftCell="B1" zoomScaleNormal="100" workbookViewId="0">
      <selection activeCell="A2" sqref="A1:A1048576"/>
    </sheetView>
  </sheetViews>
  <sheetFormatPr defaultRowHeight="12.75" x14ac:dyDescent="0.25"/>
  <cols>
    <col min="1" max="1" width="9.140625" style="1" hidden="1" customWidth="1"/>
    <col min="2" max="2" width="48" style="7" customWidth="1"/>
    <col min="3" max="3" width="13.85546875" style="7" customWidth="1"/>
    <col min="4" max="14" width="13.85546875" style="1" customWidth="1"/>
    <col min="15" max="16384" width="9.140625" style="1"/>
  </cols>
  <sheetData>
    <row r="1" spans="1:14" ht="27" customHeight="1" x14ac:dyDescent="0.25">
      <c r="A1" s="18" t="s">
        <v>17</v>
      </c>
      <c r="B1" s="18"/>
      <c r="C1" s="18"/>
      <c r="D1" s="18"/>
      <c r="E1" s="18"/>
      <c r="F1" s="18"/>
      <c r="G1" s="18"/>
      <c r="H1" s="18"/>
      <c r="I1" s="18"/>
    </row>
    <row r="2" spans="1:14" x14ac:dyDescent="0.25">
      <c r="B2" s="8"/>
      <c r="E2" s="2"/>
      <c r="F2" s="2"/>
      <c r="L2" s="2"/>
      <c r="N2" s="2" t="s">
        <v>14</v>
      </c>
    </row>
    <row r="3" spans="1:14" ht="31.5" customHeight="1" x14ac:dyDescent="0.25">
      <c r="B3" s="9"/>
      <c r="C3" s="15" t="s">
        <v>16</v>
      </c>
      <c r="D3" s="15" t="s">
        <v>18</v>
      </c>
      <c r="E3" s="15" t="s">
        <v>19</v>
      </c>
      <c r="F3" s="15" t="s">
        <v>20</v>
      </c>
      <c r="G3" s="15" t="s">
        <v>21</v>
      </c>
      <c r="H3" s="15" t="s">
        <v>22</v>
      </c>
      <c r="I3" s="15" t="s">
        <v>23</v>
      </c>
      <c r="J3" s="15" t="s">
        <v>24</v>
      </c>
      <c r="K3" s="15" t="s">
        <v>25</v>
      </c>
      <c r="L3" s="15" t="s">
        <v>26</v>
      </c>
      <c r="M3" s="15" t="s">
        <v>27</v>
      </c>
      <c r="N3" s="15" t="s">
        <v>28</v>
      </c>
    </row>
    <row r="4" spans="1:14" x14ac:dyDescent="0.25">
      <c r="B4" s="10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5.5" x14ac:dyDescent="0.25">
      <c r="A5" s="1">
        <v>101105</v>
      </c>
      <c r="B5" s="4" t="s">
        <v>1</v>
      </c>
      <c r="C5" s="16">
        <v>159785128</v>
      </c>
      <c r="D5" s="16">
        <v>307432016</v>
      </c>
      <c r="E5" s="16">
        <v>475483418</v>
      </c>
      <c r="F5" s="16">
        <v>666900346</v>
      </c>
      <c r="G5" s="16">
        <v>719591681</v>
      </c>
      <c r="H5" s="16">
        <v>858739367</v>
      </c>
      <c r="I5" s="16">
        <v>920280768</v>
      </c>
      <c r="J5" s="16">
        <v>1003537529</v>
      </c>
      <c r="K5" s="19">
        <v>1133130081</v>
      </c>
      <c r="L5" s="20">
        <v>1258926507</v>
      </c>
      <c r="M5" s="19">
        <v>1391628324</v>
      </c>
      <c r="N5" s="20">
        <v>1532974154</v>
      </c>
    </row>
    <row r="6" spans="1:14" ht="25.5" x14ac:dyDescent="0.25">
      <c r="A6" s="1">
        <v>105322</v>
      </c>
      <c r="B6" s="5" t="s">
        <v>2</v>
      </c>
      <c r="C6" s="16">
        <v>5049073</v>
      </c>
      <c r="D6" s="16">
        <v>4176962</v>
      </c>
      <c r="E6" s="16">
        <v>3357640</v>
      </c>
      <c r="F6" s="16">
        <v>63239030</v>
      </c>
      <c r="G6" s="16">
        <v>61933528</v>
      </c>
      <c r="H6" s="16">
        <v>61933528</v>
      </c>
      <c r="I6" s="16">
        <v>61927715</v>
      </c>
      <c r="J6" s="16">
        <v>57427715</v>
      </c>
      <c r="K6" s="16">
        <v>57510671</v>
      </c>
      <c r="L6" s="16">
        <v>57510671</v>
      </c>
      <c r="M6" s="16">
        <v>57524771</v>
      </c>
      <c r="N6" s="16">
        <v>57524771</v>
      </c>
    </row>
    <row r="7" spans="1:14" ht="18.75" customHeight="1" x14ac:dyDescent="0.25">
      <c r="A7" s="1">
        <v>105325</v>
      </c>
      <c r="B7" s="4" t="s">
        <v>3</v>
      </c>
      <c r="C7" s="16">
        <v>183499</v>
      </c>
      <c r="D7" s="16">
        <v>14862407</v>
      </c>
      <c r="E7" s="16">
        <v>15538725</v>
      </c>
      <c r="F7" s="16">
        <v>15538725</v>
      </c>
      <c r="G7" s="16">
        <v>15639593</v>
      </c>
      <c r="H7" s="16">
        <v>15841491</v>
      </c>
      <c r="I7" s="16">
        <v>15851841</v>
      </c>
      <c r="J7" s="16">
        <v>15851841</v>
      </c>
      <c r="K7" s="16">
        <v>15853221</v>
      </c>
      <c r="L7" s="16">
        <v>15855161</v>
      </c>
      <c r="M7" s="16">
        <v>15869272</v>
      </c>
      <c r="N7" s="16">
        <v>15959873</v>
      </c>
    </row>
    <row r="8" spans="1:14" ht="25.5" x14ac:dyDescent="0.25">
      <c r="A8" s="1">
        <v>105326</v>
      </c>
      <c r="B8" s="4" t="s">
        <v>4</v>
      </c>
      <c r="C8" s="16">
        <v>45839</v>
      </c>
      <c r="D8" s="16">
        <v>502954163</v>
      </c>
      <c r="E8" s="16">
        <v>502031977</v>
      </c>
      <c r="F8" s="16">
        <v>503024524</v>
      </c>
      <c r="G8" s="16">
        <v>982334502</v>
      </c>
      <c r="H8" s="16">
        <v>982524536</v>
      </c>
      <c r="I8" s="16">
        <v>982398636</v>
      </c>
      <c r="J8" s="16">
        <v>1076102238</v>
      </c>
      <c r="K8" s="16">
        <v>1077713026</v>
      </c>
      <c r="L8" s="16">
        <v>1078846056</v>
      </c>
      <c r="M8" s="16">
        <v>1250508211</v>
      </c>
      <c r="N8" s="16">
        <v>1282494675</v>
      </c>
    </row>
    <row r="9" spans="1:14" ht="27.75" customHeight="1" x14ac:dyDescent="0.25">
      <c r="A9" s="1">
        <v>105327</v>
      </c>
      <c r="B9" s="4" t="s">
        <v>5</v>
      </c>
      <c r="C9" s="17">
        <v>0</v>
      </c>
      <c r="D9" s="16">
        <v>79540080</v>
      </c>
      <c r="E9" s="16">
        <v>82290302</v>
      </c>
      <c r="F9" s="16">
        <v>82860302</v>
      </c>
      <c r="G9" s="16">
        <v>184405241</v>
      </c>
      <c r="H9" s="16">
        <v>186998329</v>
      </c>
      <c r="I9" s="16">
        <v>187946115</v>
      </c>
      <c r="J9" s="16">
        <v>278609106</v>
      </c>
      <c r="K9" s="16">
        <v>279052580</v>
      </c>
      <c r="L9" s="16">
        <v>280457661</v>
      </c>
      <c r="M9" s="16">
        <v>406181110</v>
      </c>
      <c r="N9" s="16">
        <v>452026740</v>
      </c>
    </row>
    <row r="10" spans="1:14" ht="25.5" x14ac:dyDescent="0.25">
      <c r="A10" s="1">
        <v>105328</v>
      </c>
      <c r="B10" s="5" t="s">
        <v>6</v>
      </c>
      <c r="C10" s="16">
        <v>70000</v>
      </c>
      <c r="D10" s="16">
        <v>87812486</v>
      </c>
      <c r="E10" s="16">
        <v>87812486</v>
      </c>
      <c r="F10" s="16">
        <v>118675590</v>
      </c>
      <c r="G10" s="16">
        <v>391433787</v>
      </c>
      <c r="H10" s="16">
        <v>404133577</v>
      </c>
      <c r="I10" s="16">
        <v>404133577</v>
      </c>
      <c r="J10" s="16">
        <v>696667822</v>
      </c>
      <c r="K10" s="16">
        <v>704574688</v>
      </c>
      <c r="L10" s="16">
        <v>714558972</v>
      </c>
      <c r="M10" s="16">
        <v>1033502778</v>
      </c>
      <c r="N10" s="16">
        <v>1035543295</v>
      </c>
    </row>
    <row r="11" spans="1:14" ht="38.25" x14ac:dyDescent="0.25">
      <c r="A11" s="1">
        <v>105329</v>
      </c>
      <c r="B11" s="5" t="s">
        <v>15</v>
      </c>
      <c r="C11" s="16">
        <v>30544806</v>
      </c>
      <c r="D11" s="16">
        <v>30544806</v>
      </c>
      <c r="E11" s="16">
        <v>30544806</v>
      </c>
      <c r="F11" s="16">
        <v>38293801</v>
      </c>
      <c r="G11" s="16">
        <v>76413997</v>
      </c>
      <c r="H11" s="16">
        <v>76413997</v>
      </c>
      <c r="I11" s="16">
        <v>76415997</v>
      </c>
      <c r="J11" s="16">
        <v>113073243</v>
      </c>
      <c r="K11" s="16">
        <v>113073243</v>
      </c>
      <c r="L11" s="16">
        <v>180893971</v>
      </c>
      <c r="M11" s="16">
        <v>180894071</v>
      </c>
      <c r="N11" s="16">
        <v>180894071</v>
      </c>
    </row>
    <row r="12" spans="1:14" x14ac:dyDescent="0.25">
      <c r="B12" s="10" t="s">
        <v>7</v>
      </c>
      <c r="C12" s="12">
        <f t="shared" ref="C12:D12" si="0">SUM(C5:C11)</f>
        <v>195678345</v>
      </c>
      <c r="D12" s="12">
        <f t="shared" si="0"/>
        <v>1027322920</v>
      </c>
      <c r="E12" s="12">
        <f t="shared" ref="E12:F12" si="1">SUM(E5:E11)</f>
        <v>1197059354</v>
      </c>
      <c r="F12" s="12">
        <f t="shared" si="1"/>
        <v>1488532318</v>
      </c>
      <c r="G12" s="12">
        <f t="shared" ref="G12:L12" si="2">SUM(G5:G11)</f>
        <v>2431752329</v>
      </c>
      <c r="H12" s="12">
        <f t="shared" si="2"/>
        <v>2586584825</v>
      </c>
      <c r="I12" s="12">
        <f t="shared" si="2"/>
        <v>2648954649</v>
      </c>
      <c r="J12" s="12">
        <f t="shared" si="2"/>
        <v>3241269494</v>
      </c>
      <c r="K12" s="12">
        <f t="shared" si="2"/>
        <v>3380907510</v>
      </c>
      <c r="L12" s="12">
        <f t="shared" si="2"/>
        <v>3587048999</v>
      </c>
      <c r="M12" s="12">
        <f t="shared" ref="M12:N12" si="3">SUM(M5:M11)</f>
        <v>4336108537</v>
      </c>
      <c r="N12" s="12">
        <f t="shared" si="3"/>
        <v>4557417579</v>
      </c>
    </row>
    <row r="13" spans="1:14" ht="51" x14ac:dyDescent="0.25">
      <c r="A13" s="1">
        <v>204201</v>
      </c>
      <c r="B13" s="4" t="s">
        <v>8</v>
      </c>
      <c r="C13" s="16">
        <v>8526</v>
      </c>
      <c r="D13" s="16">
        <v>34601</v>
      </c>
      <c r="E13" s="16">
        <v>102878</v>
      </c>
      <c r="F13" s="16">
        <v>108756</v>
      </c>
      <c r="G13" s="16">
        <v>112465</v>
      </c>
      <c r="H13" s="16">
        <v>130836</v>
      </c>
      <c r="I13" s="16">
        <v>161024</v>
      </c>
      <c r="J13" s="16">
        <v>169683</v>
      </c>
      <c r="K13" s="16">
        <v>188248</v>
      </c>
      <c r="L13" s="16">
        <v>3187979</v>
      </c>
      <c r="M13" s="16">
        <v>3197656</v>
      </c>
      <c r="N13" s="16">
        <v>3202141</v>
      </c>
    </row>
    <row r="14" spans="1:14" ht="51" x14ac:dyDescent="0.25">
      <c r="A14" s="1">
        <v>204202</v>
      </c>
      <c r="B14" s="6" t="s">
        <v>9</v>
      </c>
      <c r="C14" s="16">
        <v>1340</v>
      </c>
      <c r="D14" s="16">
        <v>2169</v>
      </c>
      <c r="E14" s="16">
        <v>642110</v>
      </c>
      <c r="F14" s="16">
        <v>833465</v>
      </c>
      <c r="G14" s="16">
        <v>888776</v>
      </c>
      <c r="H14" s="16">
        <v>1735480</v>
      </c>
      <c r="I14" s="16">
        <v>1918136</v>
      </c>
      <c r="J14" s="16">
        <v>2163218</v>
      </c>
      <c r="K14" s="16">
        <v>2767526</v>
      </c>
      <c r="L14" s="16">
        <v>2875047</v>
      </c>
      <c r="M14" s="16">
        <v>3017610</v>
      </c>
      <c r="N14" s="16">
        <v>3417070</v>
      </c>
    </row>
    <row r="15" spans="1:14" ht="25.5" x14ac:dyDescent="0.25">
      <c r="A15" s="1">
        <v>204203</v>
      </c>
      <c r="B15" s="6" t="s">
        <v>10</v>
      </c>
      <c r="C15" s="16">
        <v>55615</v>
      </c>
      <c r="D15" s="16">
        <v>55615</v>
      </c>
      <c r="E15" s="16">
        <v>55615</v>
      </c>
      <c r="F15" s="16">
        <v>60904</v>
      </c>
      <c r="G15" s="16">
        <v>69008</v>
      </c>
      <c r="H15" s="16">
        <v>77112</v>
      </c>
      <c r="I15" s="16">
        <v>85216</v>
      </c>
      <c r="J15" s="16">
        <v>96568</v>
      </c>
      <c r="K15" s="16">
        <v>255036</v>
      </c>
      <c r="L15" s="16">
        <v>1513612</v>
      </c>
      <c r="M15" s="16">
        <v>1524964</v>
      </c>
      <c r="N15" s="16">
        <v>1536315</v>
      </c>
    </row>
    <row r="16" spans="1:14" ht="25.5" x14ac:dyDescent="0.25">
      <c r="A16" s="1">
        <v>206111</v>
      </c>
      <c r="B16" s="6" t="s">
        <v>11</v>
      </c>
      <c r="C16" s="14">
        <v>0</v>
      </c>
      <c r="D16" s="16">
        <v>0</v>
      </c>
      <c r="E16" s="16"/>
      <c r="F16" s="16">
        <v>0</v>
      </c>
      <c r="G16" s="16">
        <v>8327</v>
      </c>
      <c r="H16" s="16">
        <v>9707</v>
      </c>
      <c r="I16" s="16">
        <v>21087</v>
      </c>
      <c r="J16" s="16">
        <v>30997</v>
      </c>
      <c r="K16" s="16">
        <v>82551</v>
      </c>
      <c r="L16" s="16">
        <v>138505</v>
      </c>
      <c r="M16" s="16">
        <v>156099</v>
      </c>
      <c r="N16" s="16">
        <v>308629</v>
      </c>
    </row>
    <row r="17" spans="1:14" ht="25.5" x14ac:dyDescent="0.25">
      <c r="A17" s="1">
        <v>303102</v>
      </c>
      <c r="B17" s="4" t="s">
        <v>12</v>
      </c>
      <c r="C17" s="16">
        <v>-1529</v>
      </c>
      <c r="D17" s="16">
        <v>3789</v>
      </c>
      <c r="E17" s="16">
        <v>7967</v>
      </c>
      <c r="F17" s="16">
        <v>10262</v>
      </c>
      <c r="G17" s="16">
        <v>11769</v>
      </c>
      <c r="H17" s="16">
        <v>12969</v>
      </c>
      <c r="I17" s="16">
        <v>13944</v>
      </c>
      <c r="J17" s="16">
        <v>38002</v>
      </c>
      <c r="K17" s="16">
        <v>43448</v>
      </c>
      <c r="L17" s="16">
        <v>44828</v>
      </c>
      <c r="M17" s="16">
        <v>48753</v>
      </c>
      <c r="N17" s="16">
        <v>53349</v>
      </c>
    </row>
    <row r="18" spans="1:14" x14ac:dyDescent="0.25">
      <c r="B18" s="11" t="s">
        <v>13</v>
      </c>
      <c r="C18" s="13">
        <f t="shared" ref="C18:D18" si="4">SUM(C12:C17)</f>
        <v>195742297</v>
      </c>
      <c r="D18" s="13">
        <f t="shared" si="4"/>
        <v>1027419094</v>
      </c>
      <c r="E18" s="13">
        <f t="shared" ref="E18:F18" si="5">SUM(E12:E17)</f>
        <v>1197867924</v>
      </c>
      <c r="F18" s="13">
        <f t="shared" si="5"/>
        <v>1489545705</v>
      </c>
      <c r="G18" s="13">
        <f t="shared" ref="G18:H18" si="6">SUM(G12:G17)</f>
        <v>2432842674</v>
      </c>
      <c r="H18" s="13">
        <f t="shared" si="6"/>
        <v>2588550929</v>
      </c>
      <c r="I18" s="13">
        <f t="shared" ref="I18:K18" si="7">SUM(I12:I17)</f>
        <v>2651154056</v>
      </c>
      <c r="J18" s="13">
        <f t="shared" si="7"/>
        <v>3243767962</v>
      </c>
      <c r="K18" s="13">
        <f t="shared" si="7"/>
        <v>3384244319</v>
      </c>
      <c r="L18" s="13">
        <f t="shared" ref="L18:M18" si="8">SUM(L12:L17)</f>
        <v>3594808970</v>
      </c>
      <c r="M18" s="13">
        <f t="shared" si="8"/>
        <v>4344053619</v>
      </c>
      <c r="N18" s="13">
        <f t="shared" ref="N18" si="9">SUM(N12:N17)</f>
        <v>4565935083</v>
      </c>
    </row>
  </sheetData>
  <mergeCells count="1">
    <mergeCell ref="A1:I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налоги</vt:lpstr>
      <vt:lpstr>налоги!Область_печати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2024-01-09T09:34:10Z</dcterms:modified>
</cp:coreProperties>
</file>