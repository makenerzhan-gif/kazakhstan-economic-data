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10695"/>
  </bookViews>
  <sheets>
    <sheet name="англ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odeOnly" localSheetId="0">'[1]CODE LIST'!$D$3:$D$425</definedName>
    <definedName name="CodeOnly">'[2]CODE LIST'!$D$3:$D$425</definedName>
    <definedName name="GFSLIST" localSheetId="0">'[1]CODE LIST'!$A$3:$A$424</definedName>
    <definedName name="GFSLIST">'[2]CODE LIST'!$A$3:$A$424</definedName>
    <definedName name="GFSM_Code_List" localSheetId="0">'[1]CODE LIST'!$J$3:$J$424</definedName>
    <definedName name="GFSM_Code_List">'[2]CODE LIST'!$J$3:$J$424</definedName>
    <definedName name="METADATA_COVERPAGE_2">#REF!</definedName>
    <definedName name="Reporting_Country_Code" localSheetId="0">[3]Coverpage!$I$9</definedName>
    <definedName name="Reporting_Country_Code">[4]Coverpage!$I$9</definedName>
    <definedName name="Reporting_Country_Name" localSheetId="0">[3]Coverpage!$I$8</definedName>
    <definedName name="Reporting_Country_Name">[4]Coverpage!$I$8</definedName>
    <definedName name="Reporting_Period_Code">#REF!</definedName>
    <definedName name="Reporting_Scale_Name">[5]Coverpage!$I$13</definedName>
    <definedName name="Reporting_Sector_Code">'[5]Report Form'!$I$9</definedName>
    <definedName name="Reporting_Sector_DMXPlus_Code">'[5]Report Form'!$I$11</definedName>
    <definedName name="Reporting_Sector_Name">'[5]Report Form'!$I$10</definedName>
    <definedName name="select" localSheetId="0">'[6]CODE LIST'!$N$2:$N$6</definedName>
    <definedName name="select">'[7]CODE LIST'!$N$2:$N$6</definedName>
    <definedName name="Valid_Values" localSheetId="0">'[8]Accounting Methods'!$A$2:$A$3</definedName>
    <definedName name="Valid_Values">'[9]Accounting Methods'!$A$2:$A$3</definedName>
    <definedName name="ждьж" localSheetId="0">'[10]CODE LIST'!$P$3:$P$724</definedName>
    <definedName name="ждьж">'[11]CODE LIST'!$P$3:$P$724</definedName>
    <definedName name="_xlnm.Print_Area" localSheetId="0">англ!$A$1:$G$53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3" l="1"/>
  <c r="M45" i="3"/>
  <c r="M44" i="3"/>
  <c r="M43" i="3"/>
</calcChain>
</file>

<file path=xl/sharedStrings.xml><?xml version="1.0" encoding="utf-8"?>
<sst xmlns="http://schemas.openxmlformats.org/spreadsheetml/2006/main" count="65" uniqueCount="54">
  <si>
    <t>CIO</t>
  </si>
  <si>
    <t>CSD</t>
  </si>
  <si>
    <t>32x</t>
  </si>
  <si>
    <t/>
  </si>
  <si>
    <t>321x</t>
  </si>
  <si>
    <t>322x</t>
  </si>
  <si>
    <t>NFB</t>
  </si>
  <si>
    <t>NCB</t>
  </si>
  <si>
    <t>CSDz</t>
  </si>
  <si>
    <t>2M</t>
  </si>
  <si>
    <t>2021/1</t>
  </si>
  <si>
    <t>2021/2</t>
  </si>
  <si>
    <t>2021/3</t>
  </si>
  <si>
    <t>2021/4</t>
  </si>
  <si>
    <t xml:space="preserve">Total cash expenditure [2+31] </t>
  </si>
  <si>
    <t>Memorandum item:</t>
  </si>
  <si>
    <t>Statistical discrepancy
[32x-33+NCB-CSD]</t>
  </si>
  <si>
    <t>Net change in the stock of cash [=3202]</t>
  </si>
  <si>
    <t xml:space="preserve">Net cash inflow from financing activities [-32x+33] </t>
  </si>
  <si>
    <t>Foreign</t>
  </si>
  <si>
    <t>Domestic</t>
  </si>
  <si>
    <t>by creditor</t>
  </si>
  <si>
    <t>Financial derivatives and employee stock options</t>
  </si>
  <si>
    <t>Insurance, pension, and standardized guarantee schemes</t>
  </si>
  <si>
    <t>Equity and investment fund shares</t>
  </si>
  <si>
    <t>Loans</t>
  </si>
  <si>
    <t xml:space="preserve">Debt Securities </t>
  </si>
  <si>
    <t>Currency and deposits</t>
  </si>
  <si>
    <t>Special Drawing Rights (SDRs)</t>
  </si>
  <si>
    <t>by instrument</t>
  </si>
  <si>
    <t>Net incurrence of liabilities</t>
  </si>
  <si>
    <t>by debtor</t>
  </si>
  <si>
    <t>Monetary gold and SDRs</t>
  </si>
  <si>
    <t>Net acquisition of financial assets other than cash</t>
  </si>
  <si>
    <t xml:space="preserve">Cash surplus / deficit [1-2-31 = 1-2M] </t>
  </si>
  <si>
    <t>Sales of nonfinancial assets</t>
  </si>
  <si>
    <t>Purchases of nonfinancial assets</t>
  </si>
  <si>
    <t>Net cash outflow: investments in nonfinancial assets</t>
  </si>
  <si>
    <t xml:space="preserve">Net cash inflow from operating activities [1-2] </t>
  </si>
  <si>
    <t xml:space="preserve">Other payments </t>
  </si>
  <si>
    <t xml:space="preserve">Social benefits </t>
  </si>
  <si>
    <t xml:space="preserve">Grants </t>
  </si>
  <si>
    <t xml:space="preserve">Subsidies </t>
  </si>
  <si>
    <t xml:space="preserve">Interest </t>
  </si>
  <si>
    <t xml:space="preserve">Purchases of goods &amp; services </t>
  </si>
  <si>
    <t>Compensation of employees</t>
  </si>
  <si>
    <t>Cash payments for operating activities</t>
  </si>
  <si>
    <t xml:space="preserve">Other receipts </t>
  </si>
  <si>
    <t xml:space="preserve">Social contributions </t>
  </si>
  <si>
    <t xml:space="preserve">Taxes </t>
  </si>
  <si>
    <t>Cash receipts from operating activities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</si>
  <si>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</si>
  <si>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 xml:space="preserve">Billions of Tenge </t>
  </si>
  <si>
    <t>Kazakhstan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</si>
</sst>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6" fillId="0" borderId="0" xfId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vertical="top" wrapText="1"/>
    </xf>
    <xf numFmtId="164" fontId="6" fillId="0" borderId="0" xfId="1" applyNumberFormat="1" applyFont="1" applyFill="1" applyBorder="1" applyAlignment="1" applyProtection="1">
      <alignment vertical="top" wrapText="1"/>
      <protection locked="0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1" applyFont="1" applyFill="1" applyBorder="1" applyAlignment="1" applyProtection="1">
      <alignment horizontal="right" vertical="top" wrapText="1"/>
    </xf>
    <xf numFmtId="164" fontId="8" fillId="0" borderId="0" xfId="1" applyNumberFormat="1" applyFont="1" applyFill="1" applyBorder="1" applyAlignment="1" applyProtection="1">
      <alignment vertical="top" wrapText="1"/>
      <protection locked="0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NumberFormat="1" applyFont="1" applyFill="1" applyBorder="1" applyAlignment="1" applyProtection="1">
      <alignment horizontal="left" vertical="top" wrapText="1" indent="2"/>
    </xf>
    <xf numFmtId="0" fontId="10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horizontal="right"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0" applyFont="1" applyFill="1" applyBorder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164" fontId="8" fillId="0" borderId="0" xfId="0" applyNumberFormat="1" applyFont="1" applyFill="1" applyAlignment="1">
      <alignment vertical="top" wrapText="1"/>
    </xf>
    <xf numFmtId="164" fontId="7" fillId="0" borderId="0" xfId="0" applyNumberFormat="1" applyFont="1" applyFill="1" applyAlignment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Zholdasbaeva\Documents\0%20IFS,%20GFS\&#1048;&#1060;&#1057;%202021%20&#1075;&#1086;&#1076;&#1072;\&#1042;%20&#1082;&#1085;&#1080;&#1078;&#1082;&#1091;%20IFS%20&#1085;&#1072;%201%20&#1080;&#1102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80;&#1102;&#1083;&#1103;%202021&#1075;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.old\Users\asyzdykova\Documents\4%20&#1057;&#1043;&#1060;\1%20&#1052;&#1042;&#1060;\GFS\&#1079;&#1072;%202016%20&#1075;&#1086;&#1076;\&#1092;&#1086;&#1088;&#1084;&#1099;%20&#1086;&#1090;&#1087;&#1088;&#1072;&#1074;&#1083;&#1077;&#1085;&#1085;&#1099;&#1077;\916GYQ14_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AFTS\GO\IR\Tools\HF%20tools\GFS%20classification%20assistant\DMSDR1S-%233379462-v4-High%20Frequency%20Classification%20Assistant_%20August%2030_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KAZYB~1\AppData\Local\Temp\&#1057;&#1043;&#1060;%202013%20&#1075;&#1086;&#1076;%20%20&#1085;&#1072;&#1095;&#1080;&#1089;&#1083;%20&#1043;&#1060;&#1057;&#105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AHME~1\AppData\Local\Temp\IFS%201.07.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F5">
            <v>2901.0868245856395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I5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P57"/>
  <sheetViews>
    <sheetView showZeros="0" tabSelected="1" zoomScale="85" zoomScaleNormal="85" workbookViewId="0">
      <selection activeCell="M25" sqref="M25"/>
    </sheetView>
  </sheetViews>
  <sheetFormatPr defaultColWidth="8.85546875" defaultRowHeight="15.75" x14ac:dyDescent="0.25"/>
  <cols>
    <col min="1" max="1" width="6.5703125" style="1" bestFit="1" customWidth="1"/>
    <col min="2" max="2" width="36.5703125" style="1" customWidth="1"/>
    <col min="3" max="6" width="12.7109375" style="1" customWidth="1"/>
    <col min="7" max="16384" width="8.85546875" style="4"/>
  </cols>
  <sheetData>
    <row r="1" spans="1:16" x14ac:dyDescent="0.25">
      <c r="B1" s="2">
        <v>916</v>
      </c>
      <c r="C1" s="3"/>
    </row>
    <row r="2" spans="1:16" x14ac:dyDescent="0.25">
      <c r="B2" s="3" t="s">
        <v>53</v>
      </c>
      <c r="C2" s="3"/>
    </row>
    <row r="3" spans="1:16" x14ac:dyDescent="0.25">
      <c r="A3" s="5"/>
      <c r="B3" s="3" t="s">
        <v>52</v>
      </c>
      <c r="C3" s="2"/>
      <c r="D3" s="6"/>
      <c r="E3" s="6"/>
      <c r="F3" s="6"/>
    </row>
    <row r="4" spans="1:16" x14ac:dyDescent="0.25">
      <c r="A4" s="7"/>
      <c r="B4" s="7"/>
      <c r="C4" s="6"/>
      <c r="D4" s="6"/>
      <c r="E4" s="6"/>
      <c r="F4" s="6"/>
    </row>
    <row r="5" spans="1:16" ht="47.25" x14ac:dyDescent="0.25">
      <c r="B5" s="34" t="s">
        <v>51</v>
      </c>
    </row>
    <row r="6" spans="1:16" s="10" customFormat="1" x14ac:dyDescent="0.25">
      <c r="A6" s="8"/>
      <c r="B6" s="8"/>
      <c r="C6" s="9"/>
      <c r="D6" s="9"/>
      <c r="E6" s="9"/>
      <c r="F6" s="9"/>
    </row>
    <row r="7" spans="1:16" s="10" customFormat="1" x14ac:dyDescent="0.25">
      <c r="A7" s="11"/>
      <c r="B7" s="11"/>
      <c r="C7" s="12" t="s">
        <v>10</v>
      </c>
      <c r="D7" s="12" t="s">
        <v>11</v>
      </c>
      <c r="E7" s="12" t="s">
        <v>12</v>
      </c>
      <c r="F7" s="12" t="s">
        <v>13</v>
      </c>
    </row>
    <row r="8" spans="1:16" s="17" customFormat="1" x14ac:dyDescent="0.25">
      <c r="A8" s="13">
        <v>1</v>
      </c>
      <c r="B8" s="14" t="s">
        <v>50</v>
      </c>
      <c r="C8" s="15">
        <v>2200.7623275856395</v>
      </c>
      <c r="D8" s="15">
        <v>4500.3189685787993</v>
      </c>
      <c r="E8" s="15"/>
      <c r="F8" s="15"/>
      <c r="G8" s="16"/>
      <c r="H8" s="10"/>
      <c r="J8" s="36"/>
      <c r="K8" s="36"/>
      <c r="L8" s="15"/>
      <c r="M8" s="35"/>
      <c r="N8" s="35"/>
      <c r="O8" s="35"/>
      <c r="P8" s="35"/>
    </row>
    <row r="9" spans="1:16" s="17" customFormat="1" x14ac:dyDescent="0.25">
      <c r="A9" s="18">
        <v>11</v>
      </c>
      <c r="B9" s="32" t="s">
        <v>49</v>
      </c>
      <c r="C9" s="19">
        <v>2134.1125413507998</v>
      </c>
      <c r="D9" s="19">
        <v>2934.2706281654991</v>
      </c>
      <c r="E9" s="19"/>
      <c r="F9" s="19"/>
      <c r="G9" s="16"/>
      <c r="H9" s="10"/>
      <c r="J9" s="36"/>
      <c r="K9" s="36"/>
      <c r="L9" s="19"/>
      <c r="M9" s="35"/>
      <c r="N9" s="35"/>
      <c r="O9" s="35"/>
      <c r="P9" s="35"/>
    </row>
    <row r="10" spans="1:16" s="17" customFormat="1" x14ac:dyDescent="0.25">
      <c r="A10" s="18">
        <v>12</v>
      </c>
      <c r="B10" s="32" t="s">
        <v>48</v>
      </c>
      <c r="C10" s="19">
        <v>73.744765999999998</v>
      </c>
      <c r="D10" s="19">
        <v>6.9092480000000052</v>
      </c>
      <c r="E10" s="19"/>
      <c r="F10" s="19"/>
      <c r="G10" s="16"/>
      <c r="H10" s="10"/>
      <c r="J10" s="36"/>
      <c r="K10" s="36"/>
      <c r="L10" s="19"/>
      <c r="M10" s="35"/>
      <c r="N10" s="35"/>
      <c r="O10" s="35"/>
      <c r="P10" s="35"/>
    </row>
    <row r="11" spans="1:16" s="17" customFormat="1" x14ac:dyDescent="0.25">
      <c r="A11" s="18">
        <v>13</v>
      </c>
      <c r="B11" s="32" t="s">
        <v>41</v>
      </c>
      <c r="C11" s="19">
        <v>-300.4137315427601</v>
      </c>
      <c r="D11" s="19">
        <v>814.95428619330028</v>
      </c>
      <c r="E11" s="19"/>
      <c r="F11" s="19"/>
      <c r="G11" s="16"/>
      <c r="H11" s="10"/>
      <c r="J11" s="36"/>
      <c r="K11" s="36"/>
      <c r="L11" s="19"/>
      <c r="M11" s="35"/>
      <c r="N11" s="35"/>
      <c r="O11" s="35"/>
      <c r="P11" s="35"/>
    </row>
    <row r="12" spans="1:16" s="17" customFormat="1" x14ac:dyDescent="0.25">
      <c r="A12" s="18">
        <v>14</v>
      </c>
      <c r="B12" s="32" t="s">
        <v>47</v>
      </c>
      <c r="C12" s="19">
        <v>293.31875177760003</v>
      </c>
      <c r="D12" s="19">
        <v>744.1848062199997</v>
      </c>
      <c r="E12" s="19"/>
      <c r="F12" s="19"/>
      <c r="G12" s="16"/>
      <c r="H12" s="10"/>
      <c r="J12" s="36"/>
      <c r="K12" s="36"/>
      <c r="L12" s="19"/>
      <c r="M12" s="35"/>
      <c r="N12" s="35"/>
      <c r="O12" s="35"/>
      <c r="P12" s="35"/>
    </row>
    <row r="13" spans="1:16" s="17" customFormat="1" x14ac:dyDescent="0.25">
      <c r="A13" s="13">
        <v>2</v>
      </c>
      <c r="B13" s="14" t="s">
        <v>46</v>
      </c>
      <c r="C13" s="15">
        <v>3291.5267222785201</v>
      </c>
      <c r="D13" s="15">
        <v>4624.1533822744695</v>
      </c>
      <c r="E13" s="15"/>
      <c r="F13" s="15"/>
      <c r="G13" s="16"/>
      <c r="H13" s="10"/>
      <c r="J13" s="36"/>
      <c r="K13" s="36"/>
      <c r="L13" s="15"/>
      <c r="M13" s="35"/>
      <c r="N13" s="35"/>
      <c r="O13" s="35"/>
      <c r="P13" s="35"/>
    </row>
    <row r="14" spans="1:16" s="17" customFormat="1" x14ac:dyDescent="0.25">
      <c r="A14" s="18">
        <v>21</v>
      </c>
      <c r="B14" s="32" t="s">
        <v>45</v>
      </c>
      <c r="C14" s="19">
        <v>690.46529419868</v>
      </c>
      <c r="D14" s="19">
        <v>930.70376594594029</v>
      </c>
      <c r="E14" s="19"/>
      <c r="F14" s="19"/>
      <c r="G14" s="16"/>
      <c r="H14" s="10"/>
      <c r="J14" s="36"/>
      <c r="K14" s="36"/>
      <c r="L14" s="19"/>
      <c r="M14" s="35"/>
      <c r="N14" s="35"/>
      <c r="O14" s="35"/>
      <c r="P14" s="35"/>
    </row>
    <row r="15" spans="1:16" s="17" customFormat="1" x14ac:dyDescent="0.25">
      <c r="A15" s="18">
        <v>22</v>
      </c>
      <c r="B15" s="32" t="s">
        <v>44</v>
      </c>
      <c r="C15" s="19">
        <v>761.0583464660499</v>
      </c>
      <c r="D15" s="19">
        <v>1028.51407699584</v>
      </c>
      <c r="E15" s="19"/>
      <c r="F15" s="19"/>
      <c r="G15" s="16"/>
      <c r="H15" s="10"/>
      <c r="J15" s="36"/>
      <c r="K15" s="36"/>
      <c r="L15" s="19"/>
      <c r="M15" s="35"/>
      <c r="N15" s="35"/>
      <c r="O15" s="35"/>
      <c r="P15" s="35"/>
    </row>
    <row r="16" spans="1:16" s="17" customFormat="1" x14ac:dyDescent="0.25">
      <c r="A16" s="18">
        <v>24</v>
      </c>
      <c r="B16" s="32" t="s">
        <v>43</v>
      </c>
      <c r="C16" s="19">
        <v>329.39406733211996</v>
      </c>
      <c r="D16" s="19">
        <v>254.37021797331005</v>
      </c>
      <c r="E16" s="19"/>
      <c r="F16" s="19"/>
      <c r="G16" s="16"/>
      <c r="H16" s="10"/>
      <c r="J16" s="36"/>
      <c r="K16" s="36"/>
      <c r="L16" s="19"/>
      <c r="M16" s="35"/>
      <c r="N16" s="35"/>
      <c r="O16" s="35"/>
      <c r="P16" s="35"/>
    </row>
    <row r="17" spans="1:16" s="17" customFormat="1" x14ac:dyDescent="0.25">
      <c r="A17" s="18">
        <v>25</v>
      </c>
      <c r="B17" s="32" t="s">
        <v>42</v>
      </c>
      <c r="C17" s="19">
        <v>158.26395565042</v>
      </c>
      <c r="D17" s="19">
        <v>245.51180738524997</v>
      </c>
      <c r="E17" s="19"/>
      <c r="F17" s="19"/>
      <c r="G17" s="16"/>
      <c r="H17" s="10"/>
      <c r="J17" s="36"/>
      <c r="K17" s="36"/>
      <c r="L17" s="19"/>
      <c r="M17" s="35"/>
      <c r="N17" s="35"/>
      <c r="O17" s="35"/>
      <c r="P17" s="35"/>
    </row>
    <row r="18" spans="1:16" s="17" customFormat="1" x14ac:dyDescent="0.25">
      <c r="A18" s="18">
        <v>26</v>
      </c>
      <c r="B18" s="32" t="s">
        <v>41</v>
      </c>
      <c r="C18" s="19">
        <v>253.20138964852995</v>
      </c>
      <c r="D18" s="19">
        <v>1114.1718934313303</v>
      </c>
      <c r="E18" s="19"/>
      <c r="F18" s="19"/>
      <c r="G18" s="16"/>
      <c r="H18" s="10"/>
      <c r="J18" s="36"/>
      <c r="K18" s="36"/>
      <c r="L18" s="19"/>
      <c r="M18" s="35"/>
      <c r="N18" s="35"/>
      <c r="O18" s="35"/>
      <c r="P18" s="35"/>
    </row>
    <row r="19" spans="1:16" s="17" customFormat="1" x14ac:dyDescent="0.25">
      <c r="A19" s="18">
        <v>27</v>
      </c>
      <c r="B19" s="32" t="s">
        <v>40</v>
      </c>
      <c r="C19" s="19">
        <v>1031.2338436643299</v>
      </c>
      <c r="D19" s="19">
        <v>970.29395213045996</v>
      </c>
      <c r="E19" s="19"/>
      <c r="F19" s="19"/>
      <c r="G19" s="16"/>
      <c r="H19" s="10"/>
      <c r="J19" s="36"/>
      <c r="K19" s="36"/>
      <c r="L19" s="19"/>
      <c r="M19" s="35"/>
      <c r="N19" s="35"/>
      <c r="O19" s="35"/>
      <c r="P19" s="35"/>
    </row>
    <row r="20" spans="1:16" s="17" customFormat="1" x14ac:dyDescent="0.25">
      <c r="A20" s="18">
        <v>28</v>
      </c>
      <c r="B20" s="32" t="s">
        <v>39</v>
      </c>
      <c r="C20" s="19">
        <v>67.909825318389991</v>
      </c>
      <c r="D20" s="19">
        <v>80.587668412340022</v>
      </c>
      <c r="E20" s="19"/>
      <c r="F20" s="19"/>
      <c r="G20" s="16"/>
      <c r="H20" s="10"/>
      <c r="J20" s="36"/>
      <c r="K20" s="36"/>
      <c r="L20" s="19"/>
      <c r="M20" s="35"/>
      <c r="N20" s="35"/>
      <c r="O20" s="35"/>
      <c r="P20" s="35"/>
    </row>
    <row r="21" spans="1:16" s="17" customFormat="1" x14ac:dyDescent="0.25">
      <c r="A21" s="20" t="s">
        <v>0</v>
      </c>
      <c r="B21" s="21" t="s">
        <v>38</v>
      </c>
      <c r="C21" s="22">
        <v>-1090.7643946928806</v>
      </c>
      <c r="D21" s="22">
        <v>-123.83441369567072</v>
      </c>
      <c r="E21" s="22"/>
      <c r="F21" s="22"/>
      <c r="G21" s="16"/>
      <c r="H21" s="10"/>
      <c r="J21" s="36"/>
      <c r="K21" s="36"/>
      <c r="L21" s="22"/>
      <c r="M21" s="35"/>
      <c r="N21" s="35"/>
      <c r="O21" s="35"/>
      <c r="P21" s="35"/>
    </row>
    <row r="22" spans="1:16" s="17" customFormat="1" ht="25.5" x14ac:dyDescent="0.25">
      <c r="A22" s="13">
        <v>31</v>
      </c>
      <c r="B22" s="14" t="s">
        <v>37</v>
      </c>
      <c r="C22" s="15">
        <v>184.53643250898</v>
      </c>
      <c r="D22" s="15">
        <v>447.21034536916005</v>
      </c>
      <c r="E22" s="15"/>
      <c r="F22" s="15"/>
      <c r="G22" s="16"/>
      <c r="H22" s="10"/>
      <c r="J22" s="36"/>
      <c r="K22" s="36"/>
      <c r="L22" s="15"/>
      <c r="M22" s="35"/>
      <c r="N22" s="35"/>
      <c r="O22" s="35"/>
      <c r="P22" s="35"/>
    </row>
    <row r="23" spans="1:16" s="17" customFormat="1" x14ac:dyDescent="0.25">
      <c r="A23" s="18">
        <v>31.1</v>
      </c>
      <c r="B23" s="32" t="s">
        <v>36</v>
      </c>
      <c r="C23" s="19">
        <v>220.66895370468001</v>
      </c>
      <c r="D23" s="19">
        <v>498.17918796974993</v>
      </c>
      <c r="E23" s="19"/>
      <c r="F23" s="19"/>
      <c r="G23" s="16"/>
      <c r="H23" s="10"/>
      <c r="J23" s="36"/>
      <c r="K23" s="36"/>
      <c r="L23" s="19"/>
      <c r="M23" s="35"/>
      <c r="N23" s="35"/>
      <c r="O23" s="35"/>
      <c r="P23" s="35"/>
    </row>
    <row r="24" spans="1:16" s="17" customFormat="1" x14ac:dyDescent="0.25">
      <c r="A24" s="18">
        <v>31.2</v>
      </c>
      <c r="B24" s="32" t="s">
        <v>35</v>
      </c>
      <c r="C24" s="19">
        <v>-36.169021195700005</v>
      </c>
      <c r="D24" s="19">
        <v>-50.991932600599988</v>
      </c>
      <c r="E24" s="19"/>
      <c r="F24" s="19"/>
      <c r="G24" s="16"/>
      <c r="H24" s="10"/>
      <c r="J24" s="36"/>
      <c r="K24" s="36"/>
      <c r="L24" s="19"/>
      <c r="M24" s="35"/>
      <c r="N24" s="35"/>
      <c r="O24" s="35"/>
      <c r="P24" s="35"/>
    </row>
    <row r="25" spans="1:16" s="17" customFormat="1" x14ac:dyDescent="0.25">
      <c r="A25" s="20" t="s">
        <v>1</v>
      </c>
      <c r="B25" s="21" t="s">
        <v>34</v>
      </c>
      <c r="C25" s="22">
        <v>-1275.3008272018606</v>
      </c>
      <c r="D25" s="22">
        <v>-571.04475906483094</v>
      </c>
      <c r="E25" s="22"/>
      <c r="F25" s="22"/>
      <c r="G25" s="16"/>
      <c r="H25" s="10"/>
      <c r="J25" s="36"/>
      <c r="K25" s="36"/>
      <c r="L25" s="22"/>
      <c r="M25" s="35"/>
      <c r="N25" s="35"/>
      <c r="O25" s="35"/>
      <c r="P25" s="35"/>
    </row>
    <row r="26" spans="1:16" s="17" customFormat="1" ht="25.5" x14ac:dyDescent="0.25">
      <c r="A26" s="13" t="s">
        <v>2</v>
      </c>
      <c r="B26" s="14" t="s">
        <v>33</v>
      </c>
      <c r="C26" s="15">
        <v>-588.14216546719933</v>
      </c>
      <c r="D26" s="15">
        <v>-113.63835839485171</v>
      </c>
      <c r="E26" s="15"/>
      <c r="F26" s="15"/>
      <c r="G26" s="16"/>
      <c r="H26" s="10"/>
      <c r="J26" s="36"/>
      <c r="K26" s="36"/>
      <c r="L26" s="15"/>
      <c r="M26" s="35"/>
      <c r="N26" s="35"/>
      <c r="O26" s="35"/>
      <c r="P26" s="35"/>
    </row>
    <row r="27" spans="1:16" s="17" customFormat="1" x14ac:dyDescent="0.25">
      <c r="A27" s="18" t="s">
        <v>3</v>
      </c>
      <c r="B27" s="23" t="s">
        <v>29</v>
      </c>
      <c r="C27" s="25">
        <v>0</v>
      </c>
      <c r="D27" s="25">
        <v>0</v>
      </c>
      <c r="E27" s="25"/>
      <c r="F27" s="25"/>
      <c r="G27" s="16"/>
      <c r="H27" s="10"/>
      <c r="J27" s="36"/>
      <c r="K27" s="36"/>
      <c r="L27" s="25"/>
      <c r="M27" s="35"/>
      <c r="N27" s="35"/>
      <c r="O27" s="35"/>
      <c r="P27" s="35"/>
    </row>
    <row r="28" spans="1:16" s="17" customFormat="1" x14ac:dyDescent="0.25">
      <c r="A28" s="18">
        <v>3201</v>
      </c>
      <c r="B28" s="32" t="s">
        <v>32</v>
      </c>
      <c r="C28" s="19">
        <v>0</v>
      </c>
      <c r="D28" s="19">
        <v>0</v>
      </c>
      <c r="E28" s="19"/>
      <c r="F28" s="19"/>
      <c r="G28" s="16"/>
      <c r="H28" s="10"/>
      <c r="J28" s="36"/>
      <c r="K28" s="36"/>
      <c r="L28" s="19"/>
      <c r="M28" s="35"/>
      <c r="N28" s="35"/>
      <c r="O28" s="35"/>
      <c r="P28" s="35"/>
    </row>
    <row r="29" spans="1:16" s="17" customFormat="1" x14ac:dyDescent="0.25">
      <c r="A29" s="18">
        <v>3203</v>
      </c>
      <c r="B29" s="32" t="s">
        <v>26</v>
      </c>
      <c r="C29" s="19">
        <v>-522.11747226029945</v>
      </c>
      <c r="D29" s="19">
        <v>-142.5946778403013</v>
      </c>
      <c r="E29" s="19"/>
      <c r="F29" s="19"/>
      <c r="G29" s="16"/>
      <c r="H29" s="10"/>
      <c r="J29" s="36"/>
      <c r="K29" s="36"/>
      <c r="L29" s="19"/>
      <c r="M29" s="35"/>
      <c r="N29" s="35"/>
      <c r="O29" s="35"/>
      <c r="P29" s="35"/>
    </row>
    <row r="30" spans="1:16" s="17" customFormat="1" x14ac:dyDescent="0.25">
      <c r="A30" s="18">
        <v>3204</v>
      </c>
      <c r="B30" s="32" t="s">
        <v>25</v>
      </c>
      <c r="C30" s="19">
        <v>63.340398536939993</v>
      </c>
      <c r="D30" s="19">
        <v>41.09834014007</v>
      </c>
      <c r="E30" s="19"/>
      <c r="F30" s="19"/>
      <c r="G30" s="16"/>
      <c r="H30" s="10"/>
      <c r="J30" s="36"/>
      <c r="K30" s="36"/>
      <c r="L30" s="19"/>
      <c r="M30" s="35"/>
      <c r="N30" s="35"/>
      <c r="O30" s="35"/>
      <c r="P30" s="35"/>
    </row>
    <row r="31" spans="1:16" s="17" customFormat="1" x14ac:dyDescent="0.25">
      <c r="A31" s="18">
        <v>3205</v>
      </c>
      <c r="B31" s="32" t="s">
        <v>24</v>
      </c>
      <c r="C31" s="19">
        <v>-129.36509174383986</v>
      </c>
      <c r="D31" s="19">
        <v>-12.142020694620385</v>
      </c>
      <c r="E31" s="19"/>
      <c r="F31" s="19"/>
      <c r="G31" s="16"/>
      <c r="H31" s="10"/>
      <c r="J31" s="36"/>
      <c r="K31" s="36"/>
      <c r="L31" s="19"/>
      <c r="M31" s="35"/>
      <c r="N31" s="35"/>
      <c r="O31" s="35"/>
      <c r="P31" s="35"/>
    </row>
    <row r="32" spans="1:16" s="17" customFormat="1" ht="25.5" x14ac:dyDescent="0.25">
      <c r="A32" s="18">
        <v>3206</v>
      </c>
      <c r="B32" s="32" t="s">
        <v>23</v>
      </c>
      <c r="C32" s="19">
        <v>0</v>
      </c>
      <c r="D32" s="19">
        <v>0</v>
      </c>
      <c r="E32" s="19"/>
      <c r="F32" s="19"/>
      <c r="G32" s="16"/>
      <c r="H32" s="10"/>
      <c r="J32" s="36"/>
      <c r="K32" s="36"/>
      <c r="L32" s="19"/>
      <c r="M32" s="35"/>
      <c r="N32" s="35"/>
      <c r="O32" s="35"/>
      <c r="P32" s="35"/>
    </row>
    <row r="33" spans="1:16" s="17" customFormat="1" x14ac:dyDescent="0.25">
      <c r="A33" s="18">
        <v>3207</v>
      </c>
      <c r="B33" s="32" t="s">
        <v>22</v>
      </c>
      <c r="C33" s="19">
        <v>0</v>
      </c>
      <c r="D33" s="19">
        <v>0</v>
      </c>
      <c r="E33" s="19"/>
      <c r="F33" s="19"/>
      <c r="G33" s="16"/>
      <c r="H33" s="10"/>
      <c r="J33" s="36"/>
      <c r="K33" s="36"/>
      <c r="L33" s="19"/>
      <c r="M33" s="35"/>
      <c r="N33" s="35"/>
      <c r="O33" s="35"/>
      <c r="P33" s="35"/>
    </row>
    <row r="34" spans="1:16" s="17" customFormat="1" x14ac:dyDescent="0.25">
      <c r="A34" s="18" t="s">
        <v>3</v>
      </c>
      <c r="B34" s="23" t="s">
        <v>31</v>
      </c>
      <c r="C34" s="25">
        <v>0</v>
      </c>
      <c r="D34" s="25">
        <v>0</v>
      </c>
      <c r="E34" s="25"/>
      <c r="F34" s="25"/>
      <c r="G34" s="16"/>
      <c r="H34" s="10"/>
      <c r="J34" s="36"/>
      <c r="K34" s="36"/>
      <c r="L34" s="25"/>
      <c r="M34" s="35"/>
      <c r="N34" s="35"/>
      <c r="O34" s="35"/>
      <c r="P34" s="35"/>
    </row>
    <row r="35" spans="1:16" s="17" customFormat="1" x14ac:dyDescent="0.25">
      <c r="A35" s="18" t="s">
        <v>4</v>
      </c>
      <c r="B35" s="32" t="s">
        <v>20</v>
      </c>
      <c r="C35" s="19">
        <v>97.918601337639998</v>
      </c>
      <c r="D35" s="19">
        <v>74.086244973969983</v>
      </c>
      <c r="E35" s="19"/>
      <c r="F35" s="19"/>
      <c r="G35" s="16"/>
      <c r="H35" s="10"/>
      <c r="J35" s="36"/>
      <c r="K35" s="36"/>
      <c r="L35" s="19"/>
      <c r="M35" s="35"/>
      <c r="N35" s="35"/>
      <c r="O35" s="35"/>
      <c r="P35" s="35"/>
    </row>
    <row r="36" spans="1:16" s="17" customFormat="1" x14ac:dyDescent="0.25">
      <c r="A36" s="18" t="s">
        <v>5</v>
      </c>
      <c r="B36" s="32" t="s">
        <v>19</v>
      </c>
      <c r="C36" s="19">
        <v>-686.0607668048392</v>
      </c>
      <c r="D36" s="19">
        <v>-187.72460336882182</v>
      </c>
      <c r="E36" s="19"/>
      <c r="F36" s="19"/>
      <c r="G36" s="16"/>
      <c r="H36" s="10"/>
      <c r="J36" s="36"/>
      <c r="K36" s="36"/>
      <c r="L36" s="19"/>
      <c r="M36" s="35"/>
      <c r="N36" s="35"/>
      <c r="O36" s="35"/>
      <c r="P36" s="35"/>
    </row>
    <row r="37" spans="1:16" s="17" customFormat="1" x14ac:dyDescent="0.25">
      <c r="A37" s="13">
        <v>33</v>
      </c>
      <c r="B37" s="14" t="s">
        <v>30</v>
      </c>
      <c r="C37" s="15">
        <v>585.37305074546998</v>
      </c>
      <c r="D37" s="15">
        <v>738.87814946284016</v>
      </c>
      <c r="E37" s="15"/>
      <c r="F37" s="15"/>
      <c r="G37" s="16"/>
      <c r="H37" s="10"/>
      <c r="J37" s="36"/>
      <c r="K37" s="36"/>
      <c r="L37" s="15"/>
      <c r="M37" s="35"/>
      <c r="N37" s="35"/>
      <c r="O37" s="35"/>
      <c r="P37" s="35"/>
    </row>
    <row r="38" spans="1:16" s="17" customFormat="1" x14ac:dyDescent="0.25">
      <c r="A38" s="26"/>
      <c r="B38" s="23" t="s">
        <v>29</v>
      </c>
      <c r="C38" s="25">
        <v>0</v>
      </c>
      <c r="D38" s="25">
        <v>0</v>
      </c>
      <c r="E38" s="25"/>
      <c r="F38" s="25"/>
      <c r="G38" s="16"/>
      <c r="H38" s="10"/>
      <c r="J38" s="36"/>
      <c r="K38" s="36"/>
      <c r="L38" s="25"/>
      <c r="M38" s="35"/>
      <c r="N38" s="35"/>
      <c r="O38" s="35"/>
      <c r="P38" s="35"/>
    </row>
    <row r="39" spans="1:16" s="17" customFormat="1" x14ac:dyDescent="0.25">
      <c r="A39" s="18">
        <v>3301</v>
      </c>
      <c r="B39" s="33" t="s">
        <v>28</v>
      </c>
      <c r="C39" s="19">
        <v>0</v>
      </c>
      <c r="D39" s="19">
        <v>0</v>
      </c>
      <c r="E39" s="19"/>
      <c r="F39" s="19"/>
      <c r="G39" s="16"/>
      <c r="H39" s="10"/>
      <c r="J39" s="36"/>
      <c r="K39" s="36"/>
      <c r="L39" s="19"/>
      <c r="M39" s="35"/>
      <c r="N39" s="35"/>
      <c r="O39" s="35"/>
      <c r="P39" s="35"/>
    </row>
    <row r="40" spans="1:16" s="17" customFormat="1" x14ac:dyDescent="0.25">
      <c r="A40" s="18">
        <v>3302</v>
      </c>
      <c r="B40" s="32" t="s">
        <v>27</v>
      </c>
      <c r="C40" s="19">
        <v>0</v>
      </c>
      <c r="D40" s="19">
        <v>0</v>
      </c>
      <c r="E40" s="19"/>
      <c r="F40" s="19"/>
      <c r="G40" s="16"/>
      <c r="H40" s="10"/>
      <c r="J40" s="36"/>
      <c r="K40" s="36"/>
      <c r="L40" s="19"/>
      <c r="M40" s="35"/>
      <c r="N40" s="35"/>
      <c r="O40" s="35"/>
      <c r="P40" s="35"/>
    </row>
    <row r="41" spans="1:16" s="17" customFormat="1" x14ac:dyDescent="0.25">
      <c r="A41" s="18">
        <v>3303</v>
      </c>
      <c r="B41" s="32" t="s">
        <v>26</v>
      </c>
      <c r="C41" s="19">
        <v>615.75400812139992</v>
      </c>
      <c r="D41" s="19">
        <v>91.76521159640015</v>
      </c>
      <c r="E41" s="19"/>
      <c r="F41" s="19"/>
      <c r="G41" s="16"/>
      <c r="H41" s="10"/>
      <c r="J41" s="36"/>
      <c r="K41" s="36"/>
      <c r="L41" s="19"/>
      <c r="M41" s="35"/>
      <c r="N41" s="35"/>
      <c r="O41" s="35"/>
      <c r="P41" s="35"/>
    </row>
    <row r="42" spans="1:16" s="17" customFormat="1" x14ac:dyDescent="0.25">
      <c r="A42" s="18">
        <v>3304</v>
      </c>
      <c r="B42" s="32" t="s">
        <v>25</v>
      </c>
      <c r="C42" s="19">
        <v>-30.380957375929995</v>
      </c>
      <c r="D42" s="19">
        <v>647.11293786644001</v>
      </c>
      <c r="E42" s="19"/>
      <c r="F42" s="19"/>
      <c r="G42" s="16"/>
      <c r="H42" s="10"/>
      <c r="J42" s="36"/>
      <c r="K42" s="36"/>
      <c r="L42" s="19"/>
      <c r="M42" s="35"/>
      <c r="N42" s="35"/>
      <c r="O42" s="35"/>
      <c r="P42" s="35"/>
    </row>
    <row r="43" spans="1:16" s="17" customFormat="1" x14ac:dyDescent="0.25">
      <c r="A43" s="18">
        <v>3305</v>
      </c>
      <c r="B43" s="32" t="s">
        <v>24</v>
      </c>
      <c r="C43" s="19">
        <v>0</v>
      </c>
      <c r="D43" s="19">
        <v>0</v>
      </c>
      <c r="E43" s="19"/>
      <c r="F43" s="19"/>
      <c r="G43" s="16"/>
      <c r="H43" s="10"/>
      <c r="J43" s="36"/>
      <c r="K43" s="36"/>
      <c r="L43" s="19">
        <v>0</v>
      </c>
      <c r="M43" s="35">
        <f t="shared" ref="M43:M46" si="0">I43-C43</f>
        <v>0</v>
      </c>
      <c r="N43" s="35"/>
      <c r="O43" s="35"/>
      <c r="P43" s="35"/>
    </row>
    <row r="44" spans="1:16" s="17" customFormat="1" ht="25.5" x14ac:dyDescent="0.25">
      <c r="A44" s="18">
        <v>3306</v>
      </c>
      <c r="B44" s="32" t="s">
        <v>23</v>
      </c>
      <c r="C44" s="19">
        <v>0</v>
      </c>
      <c r="D44" s="19">
        <v>0</v>
      </c>
      <c r="E44" s="19"/>
      <c r="F44" s="19"/>
      <c r="G44" s="16"/>
      <c r="H44" s="10"/>
      <c r="J44" s="36"/>
      <c r="K44" s="36"/>
      <c r="L44" s="19">
        <v>0</v>
      </c>
      <c r="M44" s="35">
        <f t="shared" si="0"/>
        <v>0</v>
      </c>
      <c r="N44" s="35"/>
      <c r="O44" s="35"/>
      <c r="P44" s="35"/>
    </row>
    <row r="45" spans="1:16" s="17" customFormat="1" x14ac:dyDescent="0.25">
      <c r="A45" s="18">
        <v>3307</v>
      </c>
      <c r="B45" s="32" t="s">
        <v>22</v>
      </c>
      <c r="C45" s="19">
        <v>0</v>
      </c>
      <c r="D45" s="19">
        <v>0</v>
      </c>
      <c r="E45" s="19"/>
      <c r="F45" s="19"/>
      <c r="G45" s="16"/>
      <c r="H45" s="10"/>
      <c r="J45" s="36"/>
      <c r="K45" s="36"/>
      <c r="L45" s="19">
        <v>0</v>
      </c>
      <c r="M45" s="35">
        <f t="shared" si="0"/>
        <v>0</v>
      </c>
      <c r="N45" s="35"/>
      <c r="O45" s="35"/>
      <c r="P45" s="35"/>
    </row>
    <row r="46" spans="1:16" s="17" customFormat="1" x14ac:dyDescent="0.25">
      <c r="A46" s="18" t="s">
        <v>3</v>
      </c>
      <c r="B46" s="23" t="s">
        <v>21</v>
      </c>
      <c r="C46" s="25">
        <v>0</v>
      </c>
      <c r="D46" s="25">
        <v>0</v>
      </c>
      <c r="E46" s="25"/>
      <c r="F46" s="25"/>
      <c r="G46" s="16"/>
      <c r="H46" s="10"/>
      <c r="J46" s="36"/>
      <c r="K46" s="36"/>
      <c r="L46" s="25">
        <v>0</v>
      </c>
      <c r="M46" s="35">
        <f t="shared" si="0"/>
        <v>0</v>
      </c>
      <c r="N46" s="35"/>
      <c r="O46" s="35"/>
      <c r="P46" s="35"/>
    </row>
    <row r="47" spans="1:16" s="17" customFormat="1" x14ac:dyDescent="0.25">
      <c r="A47" s="18">
        <v>331</v>
      </c>
      <c r="B47" s="32" t="s">
        <v>20</v>
      </c>
      <c r="C47" s="19">
        <v>555.7316773893499</v>
      </c>
      <c r="D47" s="19">
        <v>-234.03729571202979</v>
      </c>
      <c r="E47" s="19"/>
      <c r="F47" s="19"/>
      <c r="G47" s="16"/>
      <c r="H47" s="10"/>
      <c r="J47" s="36"/>
      <c r="K47" s="36"/>
      <c r="L47" s="19"/>
      <c r="M47" s="35"/>
      <c r="N47" s="35"/>
      <c r="O47" s="35"/>
      <c r="P47" s="35"/>
    </row>
    <row r="48" spans="1:16" s="17" customFormat="1" x14ac:dyDescent="0.25">
      <c r="A48" s="18">
        <v>332</v>
      </c>
      <c r="B48" s="32" t="s">
        <v>19</v>
      </c>
      <c r="C48" s="19">
        <v>29.641373356119999</v>
      </c>
      <c r="D48" s="19">
        <v>972.91544517487011</v>
      </c>
      <c r="E48" s="19"/>
      <c r="F48" s="19"/>
      <c r="G48" s="16"/>
      <c r="H48" s="10"/>
      <c r="J48" s="36"/>
      <c r="K48" s="36"/>
      <c r="L48" s="19"/>
      <c r="M48" s="35"/>
      <c r="N48" s="35"/>
      <c r="O48" s="35"/>
      <c r="P48" s="35"/>
    </row>
    <row r="49" spans="1:16" s="17" customFormat="1" ht="25.5" x14ac:dyDescent="0.25">
      <c r="A49" s="20" t="s">
        <v>6</v>
      </c>
      <c r="B49" s="21" t="s">
        <v>18</v>
      </c>
      <c r="C49" s="22">
        <v>1173.5152162126692</v>
      </c>
      <c r="D49" s="22">
        <v>852.51650785769198</v>
      </c>
      <c r="E49" s="22"/>
      <c r="F49" s="22"/>
      <c r="G49" s="16"/>
      <c r="H49" s="10"/>
      <c r="J49" s="36"/>
      <c r="K49" s="36"/>
      <c r="L49" s="22"/>
      <c r="M49" s="35"/>
      <c r="N49" s="35"/>
      <c r="O49" s="35"/>
      <c r="P49" s="35"/>
    </row>
    <row r="50" spans="1:16" s="17" customFormat="1" x14ac:dyDescent="0.25">
      <c r="A50" s="20" t="s">
        <v>7</v>
      </c>
      <c r="B50" s="21" t="s">
        <v>17</v>
      </c>
      <c r="C50" s="22">
        <v>-101.80402527940993</v>
      </c>
      <c r="D50" s="22">
        <v>281.49217757916892</v>
      </c>
      <c r="E50" s="22"/>
      <c r="F50" s="22"/>
      <c r="G50" s="16"/>
      <c r="H50" s="10"/>
      <c r="J50" s="36"/>
      <c r="K50" s="36"/>
      <c r="L50" s="22"/>
      <c r="M50" s="35"/>
      <c r="N50" s="35"/>
      <c r="O50" s="35"/>
      <c r="P50" s="35"/>
    </row>
    <row r="51" spans="1:16" s="30" customFormat="1" ht="25.5" x14ac:dyDescent="0.25">
      <c r="A51" s="27" t="s">
        <v>8</v>
      </c>
      <c r="B51" s="24" t="s">
        <v>16</v>
      </c>
      <c r="C51" s="28">
        <v>-1.841429021874319E-2</v>
      </c>
      <c r="D51" s="28">
        <v>2.04287863080026E-2</v>
      </c>
      <c r="E51" s="28"/>
      <c r="F51" s="28"/>
      <c r="G51" s="29"/>
      <c r="H51" s="10"/>
      <c r="J51" s="36"/>
      <c r="K51" s="36"/>
      <c r="L51" s="28"/>
      <c r="M51" s="35"/>
      <c r="N51" s="35"/>
      <c r="O51" s="35"/>
      <c r="P51" s="35"/>
    </row>
    <row r="52" spans="1:16" s="17" customFormat="1" x14ac:dyDescent="0.25">
      <c r="A52" s="18"/>
      <c r="B52" s="31" t="s">
        <v>15</v>
      </c>
      <c r="C52" s="25">
        <v>0</v>
      </c>
      <c r="D52" s="25">
        <v>0</v>
      </c>
      <c r="E52" s="25"/>
      <c r="F52" s="25"/>
      <c r="G52" s="16"/>
      <c r="H52" s="10"/>
      <c r="J52" s="36"/>
      <c r="K52" s="36"/>
      <c r="L52" s="25"/>
      <c r="M52" s="35"/>
      <c r="N52" s="35"/>
      <c r="O52" s="35"/>
      <c r="P52" s="35"/>
    </row>
    <row r="53" spans="1:16" s="17" customFormat="1" x14ac:dyDescent="0.25">
      <c r="A53" s="18" t="s">
        <v>9</v>
      </c>
      <c r="B53" s="24" t="s">
        <v>14</v>
      </c>
      <c r="C53" s="19">
        <v>3476.0631547875</v>
      </c>
      <c r="D53" s="19">
        <v>5071.3637276436293</v>
      </c>
      <c r="E53" s="19"/>
      <c r="F53" s="19"/>
      <c r="G53" s="16"/>
      <c r="H53" s="10"/>
      <c r="J53" s="36"/>
      <c r="K53" s="36"/>
      <c r="L53" s="19"/>
      <c r="M53" s="35"/>
      <c r="N53" s="35"/>
      <c r="O53" s="35"/>
      <c r="P53" s="35"/>
    </row>
    <row r="54" spans="1:16" x14ac:dyDescent="0.25">
      <c r="G54" s="10"/>
      <c r="H54" s="10"/>
      <c r="I54" s="10"/>
    </row>
    <row r="55" spans="1:16" x14ac:dyDescent="0.25">
      <c r="B55" s="9"/>
      <c r="H55" s="10"/>
      <c r="I55" s="10"/>
    </row>
    <row r="56" spans="1:16" x14ac:dyDescent="0.25">
      <c r="B56" s="9"/>
      <c r="H56" s="10"/>
      <c r="I56" s="10"/>
    </row>
    <row r="57" spans="1:16" x14ac:dyDescent="0.25">
      <c r="B57" s="9"/>
      <c r="H57" s="10"/>
      <c r="I57" s="10"/>
    </row>
  </sheetData>
  <pageMargins left="0.59055118110236227" right="0.59055118110236227" top="0.39370078740157483" bottom="0.39370078740157483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англ</vt:lpstr>
      <vt:lpstr>англ!Область_печати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Айгуль Сулейменова Сатыбаевна</cp:lastModifiedBy>
  <cp:lastPrinted>2022-03-15T09:37:32Z</cp:lastPrinted>
  <dcterms:created xsi:type="dcterms:W3CDTF">2021-09-06T06:38:10Z</dcterms:created>
  <dcterms:modified xsi:type="dcterms:W3CDTF">2022-03-25T04:42:56Z</dcterms:modified>
</cp:coreProperties>
</file>