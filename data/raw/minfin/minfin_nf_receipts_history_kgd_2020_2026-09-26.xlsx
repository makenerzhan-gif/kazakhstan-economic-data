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465" windowWidth="14805" windowHeight="7650"/>
  </bookViews>
  <sheets>
    <sheet name="налоги" sheetId="1" r:id="rId1"/>
  </sheets>
  <definedNames>
    <definedName name="_xlnm.Print_Area" localSheetId="0">налоги!$B$1:$M$18</definedName>
  </definedNames>
  <calcPr calcId="152511"/>
</workbook>
</file>

<file path=xl/calcChain.xml><?xml version="1.0" encoding="utf-8"?>
<calcChain xmlns="http://schemas.openxmlformats.org/spreadsheetml/2006/main">
  <c r="N12" i="1" l="1"/>
  <c r="N18" i="1" s="1"/>
  <c r="M12" i="1" l="1"/>
  <c r="M18" i="1" s="1"/>
  <c r="L12" i="1" l="1"/>
  <c r="L18" i="1" s="1"/>
  <c r="K12" i="1" l="1"/>
  <c r="K18" i="1" s="1"/>
  <c r="J12" i="1" l="1"/>
  <c r="J18" i="1" s="1"/>
  <c r="I12" i="1" l="1"/>
  <c r="I18" i="1" s="1"/>
  <c r="H12" i="1" l="1"/>
  <c r="H18" i="1" s="1"/>
  <c r="G12" i="1" l="1"/>
  <c r="G18" i="1" s="1"/>
  <c r="F12" i="1" l="1"/>
  <c r="F18" i="1" s="1"/>
  <c r="E12" i="1"/>
  <c r="E18" i="1" s="1"/>
  <c r="D12" i="1"/>
  <c r="D18" i="1" s="1"/>
  <c r="C12" i="1" l="1"/>
  <c r="C18" i="1" l="1"/>
</calcChain>
</file>

<file path=xl/sharedStrings.xml><?xml version="1.0" encoding="utf-8"?>
<sst xmlns="http://schemas.openxmlformats.org/spreadsheetml/2006/main" count="29" uniqueCount="29">
  <si>
    <t>январь</t>
  </si>
  <si>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</si>
  <si>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</si>
  <si>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</si>
  <si>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</si>
  <si>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</si>
  <si>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</si>
  <si>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</si>
  <si>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</si>
  <si>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</si>
  <si>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</si>
  <si>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</si>
  <si>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</si>
  <si>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</si>
  <si>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</si>
  <si>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</si>
  <si>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Доп.платеж недропользователя, осуществл.деят.по контракту о разделе продукции, от организаций нефт.сект.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</si>
  <si>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</si>
  <si>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</si>
  <si>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</si>
  <si>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</si>
  <si>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</si>
  <si>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</si>
  <si>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</si>
  <si>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</si>
  <si>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</si>
  <si>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Поступление  налогов и платежей в Национальный фонд Республики Казахстан по видам налогов и платежей за 2020 год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</si>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</sst>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5" fillId="0" borderId="0" xfId="1" applyFont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Continuous" vertical="center" wrapText="1"/>
    </xf>
    <xf numFmtId="3" fontId="13" fillId="2" borderId="1" xfId="0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65" fontId="14" fillId="0" borderId="1" xfId="1" applyNumberFormat="1" applyFont="1" applyBorder="1" applyAlignment="1">
      <alignment vertical="center"/>
    </xf>
    <xf numFmtId="2" fontId="10" fillId="0" borderId="0" xfId="1" applyNumberFormat="1" applyFont="1" applyAlignment="1">
      <alignment horizontal="centerContinuous" vertical="center"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5" fillId="0" borderId="0" xfId="1" applyFont="1" applyAlignment="1">
      <alignment horizontal="right" vertical="center"/>
    </xf>
  </cellXfs>
  <cellStyles count="4">
    <cellStyle name="Обычный" xfId="0" builtinId="0"/>
    <cellStyle name="Обычный 10 2 2 2 2 2 2" xfId="3"/>
    <cellStyle name="Обычный 2" xfId="2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topLeftCell="A2" zoomScaleNormal="100" workbookViewId="0">
      <selection activeCell="E20" sqref="E20"/>
    </sheetView>
  </sheetViews>
  <sheetFormatPr defaultRowHeight="12.75" x14ac:dyDescent="0.25"/>
  <cols>
    <col min="1" max="1" width="9.140625" style="1"/>
    <col min="2" max="2" width="48" style="3" customWidth="1"/>
    <col min="3" max="3" width="14.42578125" style="3" customWidth="1"/>
    <col min="4" max="4" width="15.140625" style="1" customWidth="1"/>
    <col min="5" max="5" width="12.7109375" style="1" customWidth="1"/>
    <col min="6" max="7" width="15.42578125" style="1" customWidth="1"/>
    <col min="8" max="8" width="16.85546875" style="1" customWidth="1"/>
    <col min="9" max="9" width="15.28515625" style="1" customWidth="1"/>
    <col min="10" max="10" width="16.5703125" style="1" customWidth="1"/>
    <col min="11" max="11" width="14.7109375" style="1" customWidth="1"/>
    <col min="12" max="12" width="13.42578125" style="1" customWidth="1"/>
    <col min="13" max="13" width="13.5703125" style="1" customWidth="1"/>
    <col min="14" max="14" width="17.140625" style="1" customWidth="1"/>
    <col min="15" max="16384" width="9.140625" style="1"/>
  </cols>
  <sheetData>
    <row r="1" spans="1:14" ht="58.5" customHeight="1" x14ac:dyDescent="0.25">
      <c r="B1" s="11" t="s">
        <v>26</v>
      </c>
      <c r="C1" s="6"/>
    </row>
    <row r="2" spans="1:14" ht="20.25" x14ac:dyDescent="0.25">
      <c r="B2" s="2"/>
      <c r="N2" s="18" t="s">
        <v>15</v>
      </c>
    </row>
    <row r="3" spans="1:14" ht="19.5" customHeight="1" x14ac:dyDescent="0.25">
      <c r="B3" s="12"/>
      <c r="C3" s="4" t="s">
        <v>0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27</v>
      </c>
      <c r="N3" s="4" t="s">
        <v>28</v>
      </c>
    </row>
    <row r="4" spans="1:14" ht="19.5" x14ac:dyDescent="0.25">
      <c r="B4" s="13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5.5" x14ac:dyDescent="0.25">
      <c r="A5" s="1">
        <v>101105</v>
      </c>
      <c r="B5" s="14" t="s">
        <v>2</v>
      </c>
      <c r="C5" s="7">
        <v>40318545</v>
      </c>
      <c r="D5" s="7">
        <v>122006664</v>
      </c>
      <c r="E5" s="7">
        <v>241183182</v>
      </c>
      <c r="F5" s="7">
        <v>370657586</v>
      </c>
      <c r="G5" s="7">
        <v>373089083</v>
      </c>
      <c r="H5" s="7">
        <v>372055888</v>
      </c>
      <c r="I5" s="7">
        <v>373942676</v>
      </c>
      <c r="J5" s="7">
        <v>386042724</v>
      </c>
      <c r="K5" s="7">
        <v>400639249</v>
      </c>
      <c r="L5" s="7">
        <v>416173490</v>
      </c>
      <c r="M5" s="7">
        <v>421924179</v>
      </c>
      <c r="N5" s="7">
        <v>429775716</v>
      </c>
    </row>
    <row r="6" spans="1:14" ht="25.5" x14ac:dyDescent="0.25">
      <c r="A6" s="1">
        <v>105322</v>
      </c>
      <c r="B6" s="15" t="s">
        <v>3</v>
      </c>
      <c r="C6" s="7">
        <v>0</v>
      </c>
      <c r="D6" s="7">
        <v>-22050</v>
      </c>
      <c r="E6" s="7">
        <v>-5570</v>
      </c>
      <c r="F6" s="7">
        <v>96689752</v>
      </c>
      <c r="G6" s="7">
        <v>96296697</v>
      </c>
      <c r="H6" s="7">
        <v>96098697</v>
      </c>
      <c r="I6" s="7">
        <v>96098697</v>
      </c>
      <c r="J6" s="7">
        <v>96150757</v>
      </c>
      <c r="K6" s="7">
        <v>96128281</v>
      </c>
      <c r="L6" s="7">
        <v>96128281</v>
      </c>
      <c r="M6" s="7">
        <v>96515344</v>
      </c>
      <c r="N6" s="7">
        <v>95521556</v>
      </c>
    </row>
    <row r="7" spans="1:14" ht="18.75" customHeight="1" x14ac:dyDescent="0.25">
      <c r="A7" s="1">
        <v>105325</v>
      </c>
      <c r="B7" s="14" t="s">
        <v>4</v>
      </c>
      <c r="C7" s="7">
        <v>7546</v>
      </c>
      <c r="D7" s="7">
        <v>7020</v>
      </c>
      <c r="E7" s="7">
        <v>1344903</v>
      </c>
      <c r="F7" s="7">
        <v>1345964</v>
      </c>
      <c r="G7" s="7">
        <v>1382087</v>
      </c>
      <c r="H7" s="7">
        <v>1382706</v>
      </c>
      <c r="I7" s="7">
        <v>1402645</v>
      </c>
      <c r="J7" s="7">
        <v>1403201</v>
      </c>
      <c r="K7" s="7">
        <v>1403080</v>
      </c>
      <c r="L7" s="7">
        <v>1418018</v>
      </c>
      <c r="M7" s="7">
        <v>1419351</v>
      </c>
      <c r="N7" s="7">
        <v>2683641</v>
      </c>
    </row>
    <row r="8" spans="1:14" ht="25.5" x14ac:dyDescent="0.25">
      <c r="A8" s="1">
        <v>105326</v>
      </c>
      <c r="B8" s="14" t="s">
        <v>5</v>
      </c>
      <c r="C8" s="7">
        <v>5659983</v>
      </c>
      <c r="D8" s="7">
        <v>52658500</v>
      </c>
      <c r="E8" s="7">
        <v>52886593</v>
      </c>
      <c r="F8" s="7">
        <v>114705792</v>
      </c>
      <c r="G8" s="7">
        <v>165960326</v>
      </c>
      <c r="H8" s="7">
        <v>164841424</v>
      </c>
      <c r="I8" s="7">
        <v>165286794</v>
      </c>
      <c r="J8" s="7">
        <v>202224498</v>
      </c>
      <c r="K8" s="7">
        <v>202357888</v>
      </c>
      <c r="L8" s="7">
        <v>202998320</v>
      </c>
      <c r="M8" s="7">
        <v>247667200</v>
      </c>
      <c r="N8" s="7">
        <v>265166922</v>
      </c>
    </row>
    <row r="9" spans="1:14" ht="27.75" customHeight="1" x14ac:dyDescent="0.25">
      <c r="A9" s="1">
        <v>105327</v>
      </c>
      <c r="B9" s="14" t="s">
        <v>6</v>
      </c>
      <c r="C9" s="7">
        <v>285023</v>
      </c>
      <c r="D9" s="7">
        <v>64423570</v>
      </c>
      <c r="E9" s="7">
        <v>64616840</v>
      </c>
      <c r="F9" s="7">
        <v>64760798</v>
      </c>
      <c r="G9" s="7">
        <v>116886867</v>
      </c>
      <c r="H9" s="7">
        <v>119074572</v>
      </c>
      <c r="I9" s="7">
        <v>119433041</v>
      </c>
      <c r="J9" s="7">
        <v>120312087</v>
      </c>
      <c r="K9" s="7">
        <v>120125227</v>
      </c>
      <c r="L9" s="7">
        <v>121100209</v>
      </c>
      <c r="M9" s="7">
        <v>151858544</v>
      </c>
      <c r="N9" s="7">
        <v>160310544</v>
      </c>
    </row>
    <row r="10" spans="1:14" ht="25.5" x14ac:dyDescent="0.25">
      <c r="A10" s="1">
        <v>105328</v>
      </c>
      <c r="B10" s="15" t="s">
        <v>7</v>
      </c>
      <c r="C10" s="7">
        <v>5177535</v>
      </c>
      <c r="D10" s="7">
        <v>94597387</v>
      </c>
      <c r="E10" s="7">
        <v>100690691</v>
      </c>
      <c r="F10" s="7">
        <v>100732815</v>
      </c>
      <c r="G10" s="7">
        <v>263741548</v>
      </c>
      <c r="H10" s="7">
        <v>265023341</v>
      </c>
      <c r="I10" s="7">
        <v>265472146</v>
      </c>
      <c r="J10" s="7">
        <v>305405062</v>
      </c>
      <c r="K10" s="7">
        <v>313609540</v>
      </c>
      <c r="L10" s="7">
        <v>313966715</v>
      </c>
      <c r="M10" s="7">
        <v>401124074</v>
      </c>
      <c r="N10" s="7">
        <v>422475727</v>
      </c>
    </row>
    <row r="11" spans="1:14" ht="38.25" x14ac:dyDescent="0.25">
      <c r="A11" s="1">
        <v>105329</v>
      </c>
      <c r="B11" s="15" t="s">
        <v>16</v>
      </c>
      <c r="C11" s="7">
        <v>151</v>
      </c>
      <c r="D11" s="7">
        <v>24418236</v>
      </c>
      <c r="E11" s="7">
        <v>24425256</v>
      </c>
      <c r="F11" s="7">
        <v>24981376</v>
      </c>
      <c r="G11" s="7">
        <v>24981376</v>
      </c>
      <c r="H11" s="7">
        <v>24981376</v>
      </c>
      <c r="I11" s="7">
        <v>24981376</v>
      </c>
      <c r="J11" s="7">
        <v>24981376</v>
      </c>
      <c r="K11" s="7">
        <v>25053411</v>
      </c>
      <c r="L11" s="7">
        <v>25053411</v>
      </c>
      <c r="M11" s="7">
        <v>25053411</v>
      </c>
      <c r="N11" s="7">
        <v>25053411</v>
      </c>
    </row>
    <row r="12" spans="1:14" ht="39" x14ac:dyDescent="0.25">
      <c r="B12" s="13" t="s">
        <v>8</v>
      </c>
      <c r="C12" s="8">
        <f t="shared" ref="C12:I12" si="0">C5+C6+C7+C8+C9+C10+C11</f>
        <v>51448783</v>
      </c>
      <c r="D12" s="8">
        <f t="shared" si="0"/>
        <v>358089327</v>
      </c>
      <c r="E12" s="8">
        <f t="shared" si="0"/>
        <v>485141895</v>
      </c>
      <c r="F12" s="8">
        <f t="shared" si="0"/>
        <v>773874083</v>
      </c>
      <c r="G12" s="8">
        <f t="shared" si="0"/>
        <v>1042337984</v>
      </c>
      <c r="H12" s="8">
        <f t="shared" si="0"/>
        <v>1043458004</v>
      </c>
      <c r="I12" s="8">
        <f t="shared" si="0"/>
        <v>1046617375</v>
      </c>
      <c r="J12" s="8">
        <f t="shared" ref="J12" si="1">J5+J6+J7+J8+J9+J10+J11</f>
        <v>1136519705</v>
      </c>
      <c r="K12" s="8">
        <f t="shared" ref="K12" si="2">K5+K6+K7+K8+K9+K10+K11</f>
        <v>1159316676</v>
      </c>
      <c r="L12" s="8">
        <f t="shared" ref="L12" si="3">L5+L6+L7+L8+L9+L10+L11</f>
        <v>1176838444</v>
      </c>
      <c r="M12" s="8">
        <f t="shared" ref="M12:N12" si="4">M5+M6+M7+M8+M9+M10+M11</f>
        <v>1345562103</v>
      </c>
      <c r="N12" s="8">
        <f>SUM(N5:N11)</f>
        <v>1400987517</v>
      </c>
    </row>
    <row r="13" spans="1:14" ht="51" x14ac:dyDescent="0.25">
      <c r="A13" s="1">
        <v>204201</v>
      </c>
      <c r="B13" s="14" t="s">
        <v>9</v>
      </c>
      <c r="C13" s="7">
        <v>-2319846</v>
      </c>
      <c r="D13" s="7">
        <v>-2227048</v>
      </c>
      <c r="E13" s="7">
        <v>-2200643</v>
      </c>
      <c r="F13" s="7">
        <v>-2192133</v>
      </c>
      <c r="G13" s="7">
        <v>-8869836</v>
      </c>
      <c r="H13" s="7">
        <v>-8788645</v>
      </c>
      <c r="I13" s="7">
        <v>-8790168</v>
      </c>
      <c r="J13" s="7">
        <v>-8789855</v>
      </c>
      <c r="K13" s="7">
        <v>-8788883</v>
      </c>
      <c r="L13" s="7">
        <v>-8777189</v>
      </c>
      <c r="M13" s="7">
        <v>-8768305</v>
      </c>
      <c r="N13" s="7">
        <v>-8763500</v>
      </c>
    </row>
    <row r="14" spans="1:14" ht="38.25" x14ac:dyDescent="0.25">
      <c r="A14" s="1">
        <v>204202</v>
      </c>
      <c r="B14" s="16" t="s">
        <v>10</v>
      </c>
      <c r="C14" s="7">
        <v>111763</v>
      </c>
      <c r="D14" s="7">
        <v>242898</v>
      </c>
      <c r="E14" s="7">
        <v>270242</v>
      </c>
      <c r="F14" s="7">
        <v>334353</v>
      </c>
      <c r="G14" s="7">
        <v>390523</v>
      </c>
      <c r="H14" s="7">
        <v>499142</v>
      </c>
      <c r="I14" s="7">
        <v>529003</v>
      </c>
      <c r="J14" s="7">
        <v>556348</v>
      </c>
      <c r="K14" s="7">
        <v>692504</v>
      </c>
      <c r="L14" s="7">
        <v>1079985</v>
      </c>
      <c r="M14" s="7">
        <v>1181719</v>
      </c>
      <c r="N14" s="7">
        <v>1734433</v>
      </c>
    </row>
    <row r="15" spans="1:14" ht="25.5" x14ac:dyDescent="0.25">
      <c r="A15" s="1">
        <v>204203</v>
      </c>
      <c r="B15" s="16" t="s">
        <v>11</v>
      </c>
      <c r="C15" s="7">
        <v>1353600</v>
      </c>
      <c r="D15" s="7">
        <v>1811064</v>
      </c>
      <c r="E15" s="7">
        <v>5179017</v>
      </c>
      <c r="F15" s="7">
        <v>5215959</v>
      </c>
      <c r="G15" s="7">
        <v>5233261</v>
      </c>
      <c r="H15" s="7">
        <v>5425185</v>
      </c>
      <c r="I15" s="7">
        <v>5564784</v>
      </c>
      <c r="J15" s="7">
        <v>5589259</v>
      </c>
      <c r="K15" s="7">
        <v>5589267</v>
      </c>
      <c r="L15" s="7">
        <v>6160809</v>
      </c>
      <c r="M15" s="7">
        <v>6271104</v>
      </c>
      <c r="N15" s="7">
        <v>6275009</v>
      </c>
    </row>
    <row r="16" spans="1:14" ht="25.5" x14ac:dyDescent="0.25">
      <c r="A16" s="1">
        <v>206111</v>
      </c>
      <c r="B16" s="16" t="s">
        <v>12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/>
      <c r="K16" s="9">
        <v>0</v>
      </c>
      <c r="L16" s="9">
        <v>0</v>
      </c>
      <c r="M16" s="9">
        <v>0</v>
      </c>
      <c r="N16" s="9">
        <v>1667</v>
      </c>
    </row>
    <row r="17" spans="1:14" ht="25.5" x14ac:dyDescent="0.25">
      <c r="A17" s="1">
        <v>303102</v>
      </c>
      <c r="B17" s="14" t="s">
        <v>13</v>
      </c>
      <c r="C17" s="7">
        <v>13412</v>
      </c>
      <c r="D17" s="7">
        <v>26352</v>
      </c>
      <c r="E17" s="7">
        <v>37059</v>
      </c>
      <c r="F17" s="7">
        <v>42616</v>
      </c>
      <c r="G17" s="7">
        <v>86996</v>
      </c>
      <c r="H17" s="7">
        <v>114304</v>
      </c>
      <c r="I17" s="7">
        <v>121114</v>
      </c>
      <c r="J17" s="7">
        <v>128220</v>
      </c>
      <c r="K17" s="7">
        <v>143610</v>
      </c>
      <c r="L17" s="7">
        <v>164811</v>
      </c>
      <c r="M17" s="7">
        <v>192532</v>
      </c>
      <c r="N17" s="7">
        <v>275744</v>
      </c>
    </row>
    <row r="18" spans="1:14" ht="18.75" x14ac:dyDescent="0.25">
      <c r="B18" s="17" t="s">
        <v>14</v>
      </c>
      <c r="C18" s="10">
        <f t="shared" ref="C18" si="5">SUM(C12:C17)</f>
        <v>50607712</v>
      </c>
      <c r="D18" s="10">
        <f t="shared" ref="D18:F18" si="6">SUM(D12:D17)</f>
        <v>357942593</v>
      </c>
      <c r="E18" s="10">
        <f t="shared" si="6"/>
        <v>488427570</v>
      </c>
      <c r="F18" s="10">
        <f t="shared" si="6"/>
        <v>777274878</v>
      </c>
      <c r="G18" s="10">
        <f t="shared" ref="G18" si="7">SUM(G12:G17)</f>
        <v>1039178928</v>
      </c>
      <c r="H18" s="10">
        <f t="shared" ref="H18" si="8">SUM(H12:H17)</f>
        <v>1040707990</v>
      </c>
      <c r="I18" s="10">
        <f t="shared" ref="I18" si="9">SUM(I12:I17)</f>
        <v>1044042108</v>
      </c>
      <c r="J18" s="10">
        <f t="shared" ref="J18" si="10">SUM(J12:J17)</f>
        <v>1134003677</v>
      </c>
      <c r="K18" s="10">
        <f t="shared" ref="K18" si="11">SUM(K12:K17)</f>
        <v>1156953174</v>
      </c>
      <c r="L18" s="10">
        <f t="shared" ref="L18" si="12">SUM(L12:L17)</f>
        <v>1175466860</v>
      </c>
      <c r="M18" s="10">
        <f t="shared" ref="M18:N18" si="13">SUM(M12:M17)</f>
        <v>1344439153</v>
      </c>
      <c r="N18" s="10">
        <f t="shared" si="13"/>
        <v>1400510870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2021-01-13T06:52:34Z</dcterms:modified>
</cp:coreProperties>
</file>