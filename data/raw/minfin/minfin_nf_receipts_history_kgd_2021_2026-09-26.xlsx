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20" yWindow="-120" windowWidth="29040" windowHeight="15840"/>
  </bookViews>
  <sheets>
    <sheet name="налоги" sheetId="1" r:id="rId1"/>
  </sheets>
  <definedNames>
    <definedName name="_xlnm.Print_Area" localSheetId="0">налоги!$A$1:$N$18</definedName>
  </definedNames>
  <calcPr calcId="145621"/>
</workbook>
</file>

<file path=xl/calcChain.xml><?xml version="1.0" encoding="utf-8"?>
<calcChain xmlns="http://schemas.openxmlformats.org/spreadsheetml/2006/main">
  <c r="N12" i="1" l="1"/>
  <c r="N18" i="1" s="1"/>
  <c r="M12" i="1" l="1"/>
  <c r="M18" i="1" s="1"/>
  <c r="L12" i="1" l="1"/>
  <c r="L18" i="1" s="1"/>
  <c r="K12" i="1" l="1"/>
  <c r="K18" i="1" s="1"/>
  <c r="J12" i="1" l="1"/>
  <c r="J18" i="1" s="1"/>
  <c r="I12" i="1" l="1"/>
  <c r="I18" i="1" s="1"/>
  <c r="H12" i="1" l="1"/>
  <c r="H18" i="1" s="1"/>
  <c r="G12" i="1" l="1"/>
  <c r="G18" i="1" s="1"/>
  <c r="F12" i="1" l="1"/>
  <c r="F18" i="1" s="1"/>
  <c r="E12" i="1" l="1"/>
  <c r="E18" i="1" s="1"/>
  <c r="C12" i="1" l="1"/>
  <c r="C18" i="1" s="1"/>
  <c r="D12" i="1" l="1"/>
  <c r="D18" i="1" l="1"/>
</calcChain>
</file>

<file path=xl/sharedStrings.xml><?xml version="1.0" encoding="utf-8"?>
<sst xmlns="http://schemas.openxmlformats.org/spreadsheetml/2006/main" count="29" uniqueCount="29">
  <si>
    <t>Налоговые поступления</t>
  </si>
  <si>
    <t>Корпоративный подоходный налог с юридических лиц-организаций нефтяного сектора</t>
  </si>
  <si>
    <t>Налог на сверхприбыль от организаций нефтяного сектора</t>
  </si>
  <si>
    <t>Бонусы от организаций нефт. сектора</t>
  </si>
  <si>
    <t>Налог на добычу полезных ископаемых от организаций нефтяного сектора</t>
  </si>
  <si>
    <t>Рентный налог на экспорт.сырую нефть, газ.конденсат, от предприятий неф.сектора</t>
  </si>
  <si>
    <t>Доля РК по разделу прод. по закл. контр. от организ. нефтяного сектора</t>
  </si>
  <si>
    <t>ИТОГО по налоговым поступлениям</t>
  </si>
  <si>
    <t>Административные штрафы, пени, санкции, взыскания, налагаемые центральными госорганами, их территориальными подразделениями, на предприятия нефтяного сектора</t>
  </si>
  <si>
    <t>Прочие штрафы, пени, санкции, взыскания, налагаемые гос.учрежд., финансир. из респ.бюджета, на предпр. нефтяного сектора(204202)</t>
  </si>
  <si>
    <t>Средства, получ.от природопольз.по искам о возмещ.вреда организ.нефт.сект.</t>
  </si>
  <si>
    <t>Другие неналоговые поступ.от предпр. нефтяного сектора</t>
  </si>
  <si>
    <t>Поступления от продажи земельных участков сельскохозяйственного назначения</t>
  </si>
  <si>
    <t>ИТОГО по указанным позициям</t>
  </si>
  <si>
    <t>тыс.тенге</t>
  </si>
  <si>
    <t>Доп.платеж недропользователя, осуществл.деят.по контракту о разделе продукции, от организаций нефт.сект.</t>
  </si>
  <si>
    <t>январь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</si>
  <si>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</si>
  <si>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</si>
  <si>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</si>
  <si>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</si>
  <si>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</si>
  <si>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</si>
  <si>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Поступление налогов и платежей в Национальный фонд Республики Казахстан по видам налогов и платежей за 2021 год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</si>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</sst>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#,##0_ ;\-#,##0\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12" fillId="0" borderId="0" xfId="1" applyFont="1" applyAlignment="1">
      <alignment vertical="center"/>
    </xf>
    <xf numFmtId="0" fontId="12" fillId="0" borderId="0" xfId="1" applyFont="1" applyAlignment="1">
      <alignment horizontal="right" vertical="center"/>
    </xf>
    <xf numFmtId="165" fontId="13" fillId="2" borderId="1" xfId="1" applyNumberFormat="1" applyFont="1" applyFill="1" applyBorder="1" applyAlignment="1">
      <alignment horizontal="left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1" xfId="1" quotePrefix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/>
    </xf>
    <xf numFmtId="164" fontId="15" fillId="0" borderId="0" xfId="1" applyNumberFormat="1" applyFont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left" vertical="center" wrapText="1"/>
    </xf>
    <xf numFmtId="0" fontId="15" fillId="0" borderId="1" xfId="1" applyFont="1" applyBorder="1" applyAlignment="1">
      <alignment horizontal="left" vertical="center" wrapText="1"/>
    </xf>
    <xf numFmtId="3" fontId="16" fillId="0" borderId="1" xfId="0" applyNumberFormat="1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65" fontId="15" fillId="2" borderId="1" xfId="1" applyNumberFormat="1" applyFont="1" applyFill="1" applyBorder="1" applyAlignment="1">
      <alignment vertical="center" wrapText="1"/>
    </xf>
    <xf numFmtId="165" fontId="15" fillId="0" borderId="1" xfId="1" applyNumberFormat="1" applyFont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13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vertical="center"/>
    </xf>
    <xf numFmtId="3" fontId="16" fillId="0" borderId="1" xfId="5" applyNumberFormat="1" applyFont="1" applyBorder="1" applyAlignment="1">
      <alignment horizontal="right" vertical="center"/>
    </xf>
    <xf numFmtId="0" fontId="16" fillId="0" borderId="1" xfId="5" applyFont="1" applyBorder="1" applyAlignment="1">
      <alignment horizontal="right" vertical="center"/>
    </xf>
    <xf numFmtId="2" fontId="15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2">
    <cellStyle name="Обычный" xfId="0" builtinId="0"/>
    <cellStyle name="Обычный 10" xfId="11"/>
    <cellStyle name="Обычный 10 2 2 2 2 2 2" xfId="3"/>
    <cellStyle name="Обычный 2" xfId="2"/>
    <cellStyle name="Обычный 3" xfId="4"/>
    <cellStyle name="Обычный 4" xfId="5"/>
    <cellStyle name="Обычный 5" xfId="6"/>
    <cellStyle name="Обычный 6" xfId="7"/>
    <cellStyle name="Обычный 7" xfId="8"/>
    <cellStyle name="Обычный 8" xfId="9"/>
    <cellStyle name="Обычный 9" xfId="10"/>
    <cellStyle name="Обычный_31.12.03 - налоги-нов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zoomScaleNormal="100" workbookViewId="0">
      <selection activeCell="H22" sqref="H22"/>
    </sheetView>
  </sheetViews>
  <sheetFormatPr defaultRowHeight="12.75" x14ac:dyDescent="0.25"/>
  <cols>
    <col min="1" max="1" width="9.140625" style="1" customWidth="1"/>
    <col min="2" max="2" width="48" style="7" customWidth="1"/>
    <col min="3" max="3" width="13.85546875" style="7" customWidth="1"/>
    <col min="4" max="4" width="14.42578125" style="7" customWidth="1"/>
    <col min="5" max="5" width="13.140625" style="1" customWidth="1"/>
    <col min="6" max="6" width="11.42578125" style="1" customWidth="1"/>
    <col min="7" max="9" width="12.42578125" style="1" customWidth="1"/>
    <col min="10" max="10" width="13" style="1" customWidth="1"/>
    <col min="11" max="11" width="13.42578125" style="1" bestFit="1" customWidth="1"/>
    <col min="12" max="12" width="13.85546875" style="1" customWidth="1"/>
    <col min="13" max="13" width="13" style="1" customWidth="1"/>
    <col min="14" max="14" width="13.42578125" style="1" bestFit="1" customWidth="1"/>
    <col min="15" max="16384" width="9.140625" style="1"/>
  </cols>
  <sheetData>
    <row r="1" spans="1:14" ht="58.5" customHeight="1" x14ac:dyDescent="0.25">
      <c r="B1" s="21" t="s">
        <v>23</v>
      </c>
      <c r="C1" s="21"/>
      <c r="D1" s="21"/>
      <c r="E1" s="21"/>
      <c r="F1" s="21"/>
      <c r="G1" s="21"/>
      <c r="H1" s="21"/>
      <c r="I1" s="21"/>
      <c r="J1" s="22"/>
      <c r="K1" s="22"/>
      <c r="L1" s="22"/>
      <c r="M1" s="22"/>
      <c r="N1" s="22"/>
    </row>
    <row r="2" spans="1:14" x14ac:dyDescent="0.25">
      <c r="B2" s="8"/>
      <c r="C2" s="8"/>
      <c r="N2" s="2" t="s">
        <v>14</v>
      </c>
    </row>
    <row r="3" spans="1:14" ht="28.5" customHeight="1" x14ac:dyDescent="0.25">
      <c r="B3" s="9"/>
      <c r="C3" s="17" t="s">
        <v>16</v>
      </c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24</v>
      </c>
      <c r="K3" s="17" t="s">
        <v>25</v>
      </c>
      <c r="L3" s="17" t="s">
        <v>26</v>
      </c>
      <c r="M3" s="17" t="s">
        <v>27</v>
      </c>
      <c r="N3" s="17" t="s">
        <v>28</v>
      </c>
    </row>
    <row r="4" spans="1:14" x14ac:dyDescent="0.25">
      <c r="B4" s="10" t="s">
        <v>0</v>
      </c>
      <c r="C4" s="3"/>
      <c r="D4" s="3"/>
      <c r="E4" s="3"/>
      <c r="F4" s="18"/>
      <c r="G4" s="18"/>
      <c r="H4" s="18"/>
      <c r="I4" s="18"/>
      <c r="J4" s="18"/>
      <c r="K4" s="18"/>
      <c r="L4" s="18"/>
      <c r="M4" s="18"/>
      <c r="N4" s="18"/>
    </row>
    <row r="5" spans="1:14" ht="25.5" x14ac:dyDescent="0.25">
      <c r="A5" s="1">
        <v>101105</v>
      </c>
      <c r="B5" s="4" t="s">
        <v>1</v>
      </c>
      <c r="C5" s="12">
        <v>36535822</v>
      </c>
      <c r="D5" s="12">
        <v>72054667</v>
      </c>
      <c r="E5" s="12">
        <v>122995473</v>
      </c>
      <c r="F5" s="12">
        <v>206767695</v>
      </c>
      <c r="G5" s="19">
        <v>246194904</v>
      </c>
      <c r="H5" s="19">
        <v>313949322</v>
      </c>
      <c r="I5" s="19">
        <v>329012850</v>
      </c>
      <c r="J5" s="19">
        <v>376902963</v>
      </c>
      <c r="K5" s="19">
        <v>506681171</v>
      </c>
      <c r="L5" s="19">
        <v>564184751</v>
      </c>
      <c r="M5" s="19">
        <v>725241978</v>
      </c>
      <c r="N5" s="19">
        <v>969102980</v>
      </c>
    </row>
    <row r="6" spans="1:14" ht="25.5" x14ac:dyDescent="0.25">
      <c r="A6" s="1">
        <v>105322</v>
      </c>
      <c r="B6" s="5" t="s">
        <v>2</v>
      </c>
      <c r="C6" s="12">
        <v>646947</v>
      </c>
      <c r="D6" s="12">
        <v>1788955</v>
      </c>
      <c r="E6" s="12">
        <v>3715738</v>
      </c>
      <c r="F6" s="12">
        <v>31977497</v>
      </c>
      <c r="G6" s="19">
        <v>31980957</v>
      </c>
      <c r="H6" s="19">
        <v>31980957</v>
      </c>
      <c r="I6" s="19">
        <v>32679693</v>
      </c>
      <c r="J6" s="19">
        <v>32971366</v>
      </c>
      <c r="K6" s="19">
        <v>31873205</v>
      </c>
      <c r="L6" s="19">
        <v>32826768</v>
      </c>
      <c r="M6" s="19">
        <v>32828612</v>
      </c>
      <c r="N6" s="19">
        <v>32861612</v>
      </c>
    </row>
    <row r="7" spans="1:14" ht="18.75" customHeight="1" x14ac:dyDescent="0.25">
      <c r="A7" s="1">
        <v>105325</v>
      </c>
      <c r="B7" s="4" t="s">
        <v>3</v>
      </c>
      <c r="C7" s="12">
        <v>29462</v>
      </c>
      <c r="D7" s="12">
        <v>24051</v>
      </c>
      <c r="E7" s="12">
        <v>1718651</v>
      </c>
      <c r="F7" s="12">
        <v>1718942</v>
      </c>
      <c r="G7" s="19">
        <v>1722792</v>
      </c>
      <c r="H7" s="19">
        <v>1723959</v>
      </c>
      <c r="I7" s="19">
        <v>1823959</v>
      </c>
      <c r="J7" s="19">
        <v>1900041</v>
      </c>
      <c r="K7" s="19">
        <v>1993491</v>
      </c>
      <c r="L7" s="19">
        <v>2082623</v>
      </c>
      <c r="M7" s="19">
        <v>2171405</v>
      </c>
      <c r="N7" s="19">
        <v>2261441</v>
      </c>
    </row>
    <row r="8" spans="1:14" ht="25.5" x14ac:dyDescent="0.25">
      <c r="A8" s="1">
        <v>105326</v>
      </c>
      <c r="B8" s="4" t="s">
        <v>4</v>
      </c>
      <c r="C8" s="12">
        <v>214077</v>
      </c>
      <c r="D8" s="12">
        <v>34078392</v>
      </c>
      <c r="E8" s="12">
        <v>34902541</v>
      </c>
      <c r="F8" s="12">
        <v>35234698</v>
      </c>
      <c r="G8" s="19">
        <v>175475154</v>
      </c>
      <c r="H8" s="19">
        <v>185152861</v>
      </c>
      <c r="I8" s="19">
        <v>181370095</v>
      </c>
      <c r="J8" s="19">
        <v>253181667</v>
      </c>
      <c r="K8" s="19">
        <v>251766243</v>
      </c>
      <c r="L8" s="19">
        <v>255068446</v>
      </c>
      <c r="M8" s="19">
        <v>322387983</v>
      </c>
      <c r="N8" s="19">
        <v>351187894</v>
      </c>
    </row>
    <row r="9" spans="1:14" ht="27.75" customHeight="1" x14ac:dyDescent="0.25">
      <c r="A9" s="1">
        <v>105327</v>
      </c>
      <c r="B9" s="4" t="s">
        <v>5</v>
      </c>
      <c r="C9" s="12">
        <v>3860765</v>
      </c>
      <c r="D9" s="12">
        <v>28344023</v>
      </c>
      <c r="E9" s="12">
        <v>27463358</v>
      </c>
      <c r="F9" s="12">
        <v>27952502</v>
      </c>
      <c r="G9" s="19">
        <v>109031715</v>
      </c>
      <c r="H9" s="19">
        <v>110217212</v>
      </c>
      <c r="I9" s="19">
        <v>110407816</v>
      </c>
      <c r="J9" s="19">
        <v>215787454</v>
      </c>
      <c r="K9" s="19">
        <v>220187108</v>
      </c>
      <c r="L9" s="19">
        <v>220689313</v>
      </c>
      <c r="M9" s="19">
        <v>328571538</v>
      </c>
      <c r="N9" s="19">
        <v>399745420</v>
      </c>
    </row>
    <row r="10" spans="1:14" ht="25.5" x14ac:dyDescent="0.25">
      <c r="A10" s="1">
        <v>105328</v>
      </c>
      <c r="B10" s="5" t="s">
        <v>6</v>
      </c>
      <c r="C10" s="12">
        <v>193962</v>
      </c>
      <c r="D10" s="12">
        <v>73846861</v>
      </c>
      <c r="E10" s="12">
        <v>73846861</v>
      </c>
      <c r="F10" s="12">
        <v>83154932</v>
      </c>
      <c r="G10" s="19">
        <v>268618854</v>
      </c>
      <c r="H10" s="19">
        <v>278600642</v>
      </c>
      <c r="I10" s="19">
        <v>278841024</v>
      </c>
      <c r="J10" s="19">
        <v>467385538</v>
      </c>
      <c r="K10" s="19">
        <v>467485538</v>
      </c>
      <c r="L10" s="19">
        <v>467769894</v>
      </c>
      <c r="M10" s="19">
        <v>779619190</v>
      </c>
      <c r="N10" s="19">
        <v>791061312</v>
      </c>
    </row>
    <row r="11" spans="1:14" ht="38.25" x14ac:dyDescent="0.25">
      <c r="A11" s="1">
        <v>105329</v>
      </c>
      <c r="B11" s="5" t="s">
        <v>15</v>
      </c>
      <c r="C11" s="13">
        <v>0</v>
      </c>
      <c r="D11" s="13">
        <v>0</v>
      </c>
      <c r="E11" s="12">
        <v>189</v>
      </c>
      <c r="F11" s="12">
        <v>189</v>
      </c>
      <c r="G11" s="20">
        <v>189</v>
      </c>
      <c r="H11" s="19">
        <v>189</v>
      </c>
      <c r="I11" s="19">
        <v>27364260</v>
      </c>
      <c r="J11" s="19">
        <v>27364260</v>
      </c>
      <c r="K11" s="19">
        <v>27364260</v>
      </c>
      <c r="L11" s="19">
        <v>58926197</v>
      </c>
      <c r="M11" s="19">
        <v>58926197</v>
      </c>
      <c r="N11" s="19">
        <v>58926197</v>
      </c>
    </row>
    <row r="12" spans="1:14" x14ac:dyDescent="0.25">
      <c r="B12" s="10" t="s">
        <v>7</v>
      </c>
      <c r="C12" s="14">
        <f t="shared" ref="C12:I12" si="0">SUM(C5:C11)</f>
        <v>41481035</v>
      </c>
      <c r="D12" s="14">
        <f t="shared" si="0"/>
        <v>210136949</v>
      </c>
      <c r="E12" s="14">
        <f t="shared" si="0"/>
        <v>264642811</v>
      </c>
      <c r="F12" s="14">
        <f t="shared" si="0"/>
        <v>386806455</v>
      </c>
      <c r="G12" s="14">
        <f t="shared" si="0"/>
        <v>833024565</v>
      </c>
      <c r="H12" s="14">
        <f t="shared" si="0"/>
        <v>921625142</v>
      </c>
      <c r="I12" s="14">
        <f t="shared" si="0"/>
        <v>961499697</v>
      </c>
      <c r="J12" s="14">
        <f t="shared" ref="J12:K12" si="1">SUM(J5:J11)</f>
        <v>1375493289</v>
      </c>
      <c r="K12" s="14">
        <f t="shared" si="1"/>
        <v>1507351016</v>
      </c>
      <c r="L12" s="14">
        <f t="shared" ref="L12:M12" si="2">SUM(L5:L11)</f>
        <v>1601547992</v>
      </c>
      <c r="M12" s="14">
        <f t="shared" si="2"/>
        <v>2249746903</v>
      </c>
      <c r="N12" s="14">
        <f t="shared" ref="N12" si="3">SUM(N5:N11)</f>
        <v>2605146856</v>
      </c>
    </row>
    <row r="13" spans="1:14" ht="51" x14ac:dyDescent="0.25">
      <c r="A13" s="1">
        <v>204201</v>
      </c>
      <c r="B13" s="4" t="s">
        <v>8</v>
      </c>
      <c r="C13" s="12">
        <v>3584</v>
      </c>
      <c r="D13" s="12">
        <v>13664</v>
      </c>
      <c r="E13" s="12">
        <v>22025</v>
      </c>
      <c r="F13" s="12">
        <v>40734</v>
      </c>
      <c r="G13" s="19">
        <v>87561</v>
      </c>
      <c r="H13" s="19">
        <v>1476756</v>
      </c>
      <c r="I13" s="19">
        <v>1502247</v>
      </c>
      <c r="J13" s="19">
        <v>1517688</v>
      </c>
      <c r="K13" s="19">
        <v>1614031</v>
      </c>
      <c r="L13" s="19">
        <v>1621338</v>
      </c>
      <c r="M13" s="19">
        <v>1652504</v>
      </c>
      <c r="N13" s="19">
        <v>1699630</v>
      </c>
    </row>
    <row r="14" spans="1:14" ht="51" x14ac:dyDescent="0.25">
      <c r="A14" s="1">
        <v>204202</v>
      </c>
      <c r="B14" s="6" t="s">
        <v>9</v>
      </c>
      <c r="C14" s="12">
        <v>219172</v>
      </c>
      <c r="D14" s="12">
        <v>500076</v>
      </c>
      <c r="E14" s="12">
        <v>643913</v>
      </c>
      <c r="F14" s="12">
        <v>772778</v>
      </c>
      <c r="G14" s="19">
        <v>862755</v>
      </c>
      <c r="H14" s="19">
        <v>1704466</v>
      </c>
      <c r="I14" s="19">
        <v>1843094</v>
      </c>
      <c r="J14" s="19">
        <v>1871449</v>
      </c>
      <c r="K14" s="19">
        <v>2025516</v>
      </c>
      <c r="L14" s="19">
        <v>2107559</v>
      </c>
      <c r="M14" s="19">
        <v>2438881</v>
      </c>
      <c r="N14" s="19">
        <v>2598273</v>
      </c>
    </row>
    <row r="15" spans="1:14" ht="25.5" x14ac:dyDescent="0.25">
      <c r="A15" s="1">
        <v>204203</v>
      </c>
      <c r="B15" s="6" t="s">
        <v>10</v>
      </c>
      <c r="C15" s="12">
        <v>762657</v>
      </c>
      <c r="D15" s="12">
        <v>775428</v>
      </c>
      <c r="E15" s="12">
        <v>775605</v>
      </c>
      <c r="F15" s="12">
        <v>808462</v>
      </c>
      <c r="G15" s="19">
        <v>1270116</v>
      </c>
      <c r="H15" s="19">
        <v>1303705</v>
      </c>
      <c r="I15" s="19">
        <v>2118383</v>
      </c>
      <c r="J15" s="19">
        <v>2123102</v>
      </c>
      <c r="K15" s="19">
        <v>2553692</v>
      </c>
      <c r="L15" s="19">
        <v>2865451</v>
      </c>
      <c r="M15" s="19">
        <v>3352805</v>
      </c>
      <c r="N15" s="19">
        <v>3383499</v>
      </c>
    </row>
    <row r="16" spans="1:14" ht="25.5" x14ac:dyDescent="0.25">
      <c r="A16" s="1">
        <v>206111</v>
      </c>
      <c r="B16" s="6" t="s">
        <v>11</v>
      </c>
      <c r="C16" s="16">
        <v>0</v>
      </c>
      <c r="D16" s="12">
        <v>0</v>
      </c>
      <c r="E16" s="12"/>
      <c r="F16" s="12">
        <v>2917</v>
      </c>
      <c r="G16" s="19">
        <v>2917</v>
      </c>
      <c r="H16" s="19">
        <v>2917</v>
      </c>
      <c r="I16" s="19">
        <v>2917</v>
      </c>
      <c r="J16" s="19">
        <v>2917</v>
      </c>
      <c r="K16" s="19">
        <v>3209</v>
      </c>
      <c r="L16" s="19">
        <v>4084</v>
      </c>
      <c r="M16" s="19">
        <v>4084</v>
      </c>
      <c r="N16" s="19">
        <v>4084</v>
      </c>
    </row>
    <row r="17" spans="1:14" ht="25.5" x14ac:dyDescent="0.25">
      <c r="A17" s="1">
        <v>303102</v>
      </c>
      <c r="B17" s="4" t="s">
        <v>12</v>
      </c>
      <c r="C17" s="12">
        <v>10495</v>
      </c>
      <c r="D17" s="12">
        <v>25282</v>
      </c>
      <c r="E17" s="12">
        <v>50604</v>
      </c>
      <c r="F17" s="12">
        <v>60120</v>
      </c>
      <c r="G17" s="19">
        <v>67664</v>
      </c>
      <c r="H17" s="19">
        <v>101938</v>
      </c>
      <c r="I17" s="19">
        <v>107007</v>
      </c>
      <c r="J17" s="19">
        <v>123739</v>
      </c>
      <c r="K17" s="19">
        <v>129864</v>
      </c>
      <c r="L17" s="19">
        <v>135489</v>
      </c>
      <c r="M17" s="19">
        <v>159950</v>
      </c>
      <c r="N17" s="19">
        <v>224747</v>
      </c>
    </row>
    <row r="18" spans="1:14" x14ac:dyDescent="0.25">
      <c r="B18" s="11" t="s">
        <v>13</v>
      </c>
      <c r="C18" s="15">
        <f t="shared" ref="C18" si="4">SUM(C12:C17)</f>
        <v>42476943</v>
      </c>
      <c r="D18" s="15">
        <f t="shared" ref="D18:F18" si="5">SUM(D12:D17)</f>
        <v>211451399</v>
      </c>
      <c r="E18" s="15">
        <f t="shared" si="5"/>
        <v>266134958</v>
      </c>
      <c r="F18" s="15">
        <f t="shared" si="5"/>
        <v>388491466</v>
      </c>
      <c r="G18" s="15">
        <f t="shared" ref="G18:I18" si="6">SUM(G12:G17)</f>
        <v>835315578</v>
      </c>
      <c r="H18" s="15">
        <f t="shared" si="6"/>
        <v>926214924</v>
      </c>
      <c r="I18" s="15">
        <f t="shared" si="6"/>
        <v>967073345</v>
      </c>
      <c r="J18" s="15">
        <f t="shared" ref="J18:K18" si="7">SUM(J12:J17)</f>
        <v>1381132184</v>
      </c>
      <c r="K18" s="15">
        <f t="shared" si="7"/>
        <v>1513677328</v>
      </c>
      <c r="L18" s="15">
        <f t="shared" ref="L18:M18" si="8">SUM(L12:L17)</f>
        <v>1608281913</v>
      </c>
      <c r="M18" s="15">
        <f t="shared" si="8"/>
        <v>2257355127</v>
      </c>
      <c r="N18" s="15">
        <f t="shared" ref="N18" si="9">SUM(N12:N17)</f>
        <v>2613057089</v>
      </c>
    </row>
  </sheetData>
  <mergeCells count="1">
    <mergeCell ref="B1:N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налоги</vt:lpstr>
      <vt:lpstr>налоги!Область_печати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2022-01-10T09:00:52Z</dcterms:modified>
</cp:coreProperties>
</file>