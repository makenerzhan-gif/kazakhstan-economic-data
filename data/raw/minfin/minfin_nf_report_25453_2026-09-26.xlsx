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ЭтаКнига" defaultThemeVersion="124226"/>
  <bookViews>
    <workbookView xWindow="12075" yWindow="15" windowWidth="12120" windowHeight="7170"/>
  </bookViews>
  <sheets>
    <sheet name="англ" sheetId="3" r:id="rId1"/>
  </sheets>
  <calcPr calcId="152511"/>
</workbook>
</file>

<file path=xl/calcChain.xml><?xml version="1.0" encoding="utf-8"?>
<calcChain xmlns="http://schemas.openxmlformats.org/spreadsheetml/2006/main">
  <c r="C29" i="3" l="1"/>
  <c r="C16" i="3"/>
  <c r="C7" i="3"/>
  <c r="C5" i="3"/>
  <c r="C34" i="3"/>
</calcChain>
</file>

<file path=xl/sharedStrings.xml><?xml version="1.0" encoding="utf-8"?>
<sst xmlns="http://schemas.openxmlformats.org/spreadsheetml/2006/main" count="42" uniqueCount="39">
  <si>
    <t>1.</t>
  </si>
  <si>
    <t>2.</t>
  </si>
  <si>
    <t>3.</t>
  </si>
  <si>
    <t>4.</t>
  </si>
  <si>
    <t xml:space="preserve">№ </t>
  </si>
  <si>
    <t>Name</t>
  </si>
  <si>
    <t>Sum,                           thousands of Tenge</t>
  </si>
  <si>
    <t>Receipts, total:</t>
  </si>
  <si>
    <t>including:</t>
  </si>
  <si>
    <t>Application, total:</t>
  </si>
  <si>
    <t>Fund's means as of the end of the reporting period, total:</t>
  </si>
  <si>
    <t xml:space="preserve">     - receipts from sale of agricultural land</t>
  </si>
  <si>
    <t xml:space="preserve">     - other receipts and income not forbidden by the legislation of the Republic of Kazakhstan </t>
  </si>
  <si>
    <t xml:space="preserve">     - guaranteed transfers  </t>
  </si>
  <si>
    <t xml:space="preserve">     - targeted transfers</t>
  </si>
  <si>
    <t xml:space="preserve">     - expenditures connected with the National Fund management and conducting annual external audit  </t>
  </si>
  <si>
    <t>corporate income tax</t>
  </si>
  <si>
    <t>excess profits tax</t>
  </si>
  <si>
    <t xml:space="preserve">bonuses </t>
  </si>
  <si>
    <t>portion of  the Republic of Kazakhstan under the production sharing</t>
  </si>
  <si>
    <t xml:space="preserve">       - direct taxes levied on oil sector enterprises (except for taxes to the local budgets)</t>
  </si>
  <si>
    <t xml:space="preserve">tax on production of useful minerals </t>
  </si>
  <si>
    <t>rent tax on export</t>
  </si>
  <si>
    <t xml:space="preserve">additional payment made by mineral resource user carrying on activity under a production sharing contract from the oil sector organizations   </t>
  </si>
  <si>
    <t xml:space="preserve">       -  оther receipts from operations carried out by  the oil sector organizations (except for the taxes to the local budgets)</t>
  </si>
  <si>
    <t xml:space="preserve">administrative fines, sanctions, penalties imposed by central state bodies and their territorial subdivisions on  oil sector organizations </t>
  </si>
  <si>
    <t>other nontax receipts from oil sector organizations</t>
  </si>
  <si>
    <t xml:space="preserve">other fines and penalties levied on oil sector enterprises by state institutions financed from the republican budget </t>
  </si>
  <si>
    <t xml:space="preserve">received from users of natural resourses under  compensatary action  by organizations of oil sector </t>
  </si>
  <si>
    <t>return of the guaranteed transfer from repulican budget</t>
  </si>
  <si>
    <t>return of the target transfer from republican budget</t>
  </si>
  <si>
    <t xml:space="preserve"> </t>
  </si>
  <si>
    <t xml:space="preserve">   </t>
  </si>
  <si>
    <t xml:space="preserve">     - investment income from the National Fund management*</t>
  </si>
  <si>
    <t xml:space="preserve">National Fund's Means (further- the Fund) as of the Beginning of the Reporting Period, total:  </t>
  </si>
  <si>
    <t xml:space="preserve">       - receipts from privatization of republican property </t>
  </si>
  <si>
    <t xml:space="preserve">Based upon the investment income  for the 2019  1 quarter according to approved statement of  the NBRK  for the 2019  1 quarter on  the National Fund trust management                                                                </t>
  </si>
  <si>
    <t>STATEMENT OF RECEIPTS AND APPLICATION OF THE NATIONAL FUND 
OF THE REPUBLIC OF KAZAKHSTAN AS OF 1 AUGUST 2019</t>
  </si>
  <si>
    <t>Incomes from the transfers to the competitive environment of the assets of national management holdings, national holdings, national companies and their subsidiaries, dependent and other legal entities which are affiliated with them, in the manner and according to the list determined by the Government of the Republic of Kazakhstan</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</si>
</sst>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Cyr"/>
      <charset val="204"/>
    </font>
    <font>
      <sz val="8"/>
      <name val="Arial Cyr"/>
      <charset val="204"/>
    </font>
    <font>
      <sz val="12"/>
      <name val="Times New Roman"/>
      <family val="1"/>
      <charset val="204"/>
    </font>
    <font>
      <b/>
      <sz val="12"/>
      <name val="Times New Roman"/>
      <family val="1"/>
      <charset val="204"/>
    </font>
    <font>
      <sz val="10"/>
      <name val="Times New Roman"/>
      <family val="1"/>
      <charset val="204"/>
    </font>
    <font>
      <b/>
      <sz val="13"/>
      <name val="Times New Roman"/>
      <family val="1"/>
      <charset val="204"/>
    </font>
    <font>
      <i/>
      <sz val="12"/>
      <name val="Times New Roman"/>
      <family val="1"/>
      <charset val="204"/>
    </font>
  </fonts>
  <fills count="3">
    <fill>
      <patternFill patternType="none"/>
    </fill>
    <fill>
      <patternFill patternType="gray125"/>
    </fill>
    <fill>
      <patternFill patternType="solid">
        <fgColor theme="0"/>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s>
  <cellStyleXfs count="1">
    <xf numFmtId="0" fontId="0" fillId="0" borderId="0"/>
  </cellStyleXfs>
  <cellXfs count="52">
    <xf numFmtId="0" fontId="0" fillId="0" borderId="0" xfId="0"/>
    <xf numFmtId="0" fontId="4" fillId="0" borderId="0" xfId="0" applyFont="1"/>
    <xf numFmtId="0" fontId="3" fillId="0" borderId="0" xfId="0" applyFont="1" applyAlignment="1">
      <alignment horizontal="center" vertical="center"/>
    </xf>
    <xf numFmtId="0" fontId="5" fillId="0" borderId="1" xfId="0" applyFont="1" applyBorder="1" applyAlignment="1">
      <alignment horizontal="center" vertical="center" wrapText="1"/>
    </xf>
    <xf numFmtId="0" fontId="5" fillId="0" borderId="2" xfId="0" applyFont="1" applyBorder="1" applyAlignment="1">
      <alignment horizontal="left" vertical="center" wrapText="1"/>
    </xf>
    <xf numFmtId="0" fontId="5" fillId="0" borderId="0" xfId="0" applyFont="1" applyAlignment="1">
      <alignment horizontal="centerContinuous" vertical="center" wrapText="1"/>
    </xf>
    <xf numFmtId="3" fontId="3" fillId="0" borderId="3" xfId="0" applyNumberFormat="1" applyFont="1" applyFill="1" applyBorder="1" applyAlignment="1">
      <alignment horizontal="right"/>
    </xf>
    <xf numFmtId="0" fontId="2" fillId="0" borderId="4" xfId="0" applyFont="1" applyBorder="1" applyAlignment="1">
      <alignment horizontal="left" vertical="top" wrapText="1"/>
    </xf>
    <xf numFmtId="0" fontId="3" fillId="0" borderId="5" xfId="0" applyFont="1" applyBorder="1" applyAlignment="1">
      <alignment horizontal="left" wrapText="1" indent="2"/>
    </xf>
    <xf numFmtId="0" fontId="6" fillId="0" borderId="5" xfId="0" applyFont="1" applyBorder="1" applyAlignment="1">
      <alignment horizontal="left" wrapText="1" indent="4"/>
    </xf>
    <xf numFmtId="0" fontId="6" fillId="0" borderId="5" xfId="0" applyFont="1" applyFill="1" applyBorder="1" applyAlignment="1">
      <alignment horizontal="left" wrapText="1" indent="4"/>
    </xf>
    <xf numFmtId="3" fontId="5" fillId="0" borderId="6" xfId="0" applyNumberFormat="1" applyFont="1" applyFill="1" applyBorder="1" applyAlignment="1">
      <alignment horizontal="right" vertical="center"/>
    </xf>
    <xf numFmtId="3" fontId="5" fillId="0" borderId="3" xfId="0" applyNumberFormat="1" applyFont="1" applyFill="1" applyBorder="1" applyAlignment="1">
      <alignment horizontal="right" vertical="center"/>
    </xf>
    <xf numFmtId="3" fontId="2" fillId="0" borderId="6" xfId="0" applyNumberFormat="1" applyFont="1" applyFill="1" applyBorder="1" applyAlignment="1">
      <alignment horizontal="right"/>
    </xf>
    <xf numFmtId="3" fontId="6" fillId="2" borderId="7" xfId="0" applyNumberFormat="1" applyFont="1" applyFill="1" applyBorder="1" applyAlignment="1">
      <alignment horizontal="right"/>
    </xf>
    <xf numFmtId="3" fontId="3" fillId="2" borderId="6" xfId="0" applyNumberFormat="1" applyFont="1" applyFill="1" applyBorder="1" applyAlignment="1">
      <alignment horizontal="right"/>
    </xf>
    <xf numFmtId="3" fontId="5" fillId="2" borderId="6" xfId="0" applyNumberFormat="1" applyFont="1" applyFill="1" applyBorder="1" applyAlignment="1">
      <alignment horizontal="right" vertical="center"/>
    </xf>
    <xf numFmtId="3" fontId="2" fillId="2" borderId="3" xfId="0" applyNumberFormat="1" applyFont="1" applyFill="1" applyBorder="1" applyAlignment="1">
      <alignment horizontal="right"/>
    </xf>
    <xf numFmtId="3" fontId="3" fillId="0" borderId="8" xfId="0" applyNumberFormat="1" applyFont="1" applyFill="1" applyBorder="1" applyAlignment="1">
      <alignment horizontal="right"/>
    </xf>
    <xf numFmtId="3" fontId="6" fillId="2" borderId="8" xfId="0" applyNumberFormat="1" applyFont="1" applyFill="1" applyBorder="1" applyAlignment="1">
      <alignment horizontal="right"/>
    </xf>
    <xf numFmtId="3" fontId="6" fillId="2" borderId="9" xfId="0" applyNumberFormat="1" applyFont="1" applyFill="1" applyBorder="1" applyAlignment="1">
      <alignment horizontal="right"/>
    </xf>
    <xf numFmtId="3" fontId="3" fillId="2" borderId="9" xfId="0" applyNumberFormat="1" applyFont="1" applyFill="1" applyBorder="1" applyAlignment="1">
      <alignment horizontal="right"/>
    </xf>
    <xf numFmtId="3" fontId="2" fillId="0" borderId="8" xfId="0" applyNumberFormat="1" applyFont="1" applyFill="1" applyBorder="1" applyAlignment="1">
      <alignment horizontal="right"/>
    </xf>
    <xf numFmtId="3" fontId="2" fillId="0" borderId="9" xfId="0" applyNumberFormat="1" applyFont="1" applyFill="1" applyBorder="1" applyAlignment="1">
      <alignment horizontal="right"/>
    </xf>
    <xf numFmtId="0" fontId="6" fillId="0" borderId="0" xfId="0" applyFont="1" applyBorder="1" applyAlignment="1">
      <alignment vertical="center" wrapText="1"/>
    </xf>
    <xf numFmtId="0" fontId="3" fillId="0" borderId="3" xfId="0" applyFont="1" applyBorder="1" applyAlignment="1">
      <alignment horizontal="center" vertical="top" wrapText="1"/>
    </xf>
    <xf numFmtId="0" fontId="4" fillId="0" borderId="7" xfId="0" applyFont="1" applyBorder="1" applyAlignment="1">
      <alignment horizontal="center" vertical="top" wrapText="1"/>
    </xf>
    <xf numFmtId="0" fontId="3" fillId="0" borderId="8" xfId="0" applyFont="1" applyBorder="1" applyAlignment="1">
      <alignment horizontal="left" wrapText="1" indent="2"/>
    </xf>
    <xf numFmtId="0" fontId="6" fillId="0" borderId="8" xfId="0" applyFont="1" applyBorder="1" applyAlignment="1">
      <alignment horizontal="left" wrapText="1" indent="4"/>
    </xf>
    <xf numFmtId="0" fontId="6" fillId="0" borderId="9" xfId="0" applyFont="1" applyBorder="1" applyAlignment="1">
      <alignment horizontal="left" wrapText="1" indent="4"/>
    </xf>
    <xf numFmtId="0" fontId="2" fillId="0" borderId="5" xfId="0" applyFont="1" applyBorder="1" applyAlignment="1">
      <alignment horizontal="left" wrapText="1" indent="2"/>
    </xf>
    <xf numFmtId="0" fontId="6" fillId="0" borderId="10" xfId="0" applyFont="1" applyBorder="1" applyAlignment="1">
      <alignment horizontal="left" wrapText="1" indent="4"/>
    </xf>
    <xf numFmtId="0" fontId="3" fillId="0" borderId="10" xfId="0" applyFont="1" applyBorder="1" applyAlignment="1">
      <alignment horizontal="left" wrapText="1" indent="2"/>
    </xf>
    <xf numFmtId="0" fontId="6" fillId="0" borderId="11" xfId="0" applyFont="1" applyBorder="1" applyAlignment="1">
      <alignment horizontal="left" wrapText="1" indent="4"/>
    </xf>
    <xf numFmtId="0" fontId="2" fillId="0" borderId="3" xfId="0" applyFont="1" applyBorder="1" applyAlignment="1">
      <alignment horizontal="center" vertical="top" wrapText="1"/>
    </xf>
    <xf numFmtId="0" fontId="2" fillId="0" borderId="7" xfId="0" applyFont="1" applyBorder="1" applyAlignment="1">
      <alignment horizontal="center" vertical="top" wrapText="1"/>
    </xf>
    <xf numFmtId="0" fontId="3" fillId="0" borderId="11" xfId="0" applyFont="1" applyBorder="1" applyAlignment="1">
      <alignment horizontal="left" wrapText="1" indent="2"/>
    </xf>
    <xf numFmtId="0" fontId="5" fillId="0" borderId="12" xfId="0" applyFont="1" applyBorder="1" applyAlignment="1">
      <alignment horizontal="center" vertical="center" wrapText="1"/>
    </xf>
    <xf numFmtId="0" fontId="5" fillId="0" borderId="13" xfId="0" applyFont="1" applyBorder="1" applyAlignment="1">
      <alignment horizontal="left" vertical="center" wrapText="1"/>
    </xf>
    <xf numFmtId="0" fontId="4" fillId="0" borderId="0" xfId="0" applyFont="1" applyBorder="1"/>
    <xf numFmtId="0" fontId="5" fillId="0" borderId="2" xfId="0" applyFont="1" applyBorder="1" applyAlignment="1">
      <alignment horizontal="center" vertical="center" wrapText="1"/>
    </xf>
    <xf numFmtId="0" fontId="5" fillId="0" borderId="14" xfId="0" applyFont="1" applyBorder="1" applyAlignment="1">
      <alignment horizontal="left" vertical="center" wrapText="1"/>
    </xf>
    <xf numFmtId="0" fontId="4" fillId="0" borderId="0" xfId="0" applyFont="1" applyBorder="1" applyAlignment="1">
      <alignment horizontal="center"/>
    </xf>
    <xf numFmtId="0" fontId="3" fillId="0" borderId="0" xfId="0" applyFont="1" applyBorder="1" applyAlignment="1">
      <alignment horizontal="center" vertical="center"/>
    </xf>
    <xf numFmtId="0" fontId="4" fillId="0" borderId="15" xfId="0" applyFont="1" applyBorder="1" applyAlignment="1">
      <alignment horizontal="centerContinuous" vertical="center" wrapText="1"/>
    </xf>
    <xf numFmtId="0" fontId="4" fillId="0" borderId="16" xfId="0" applyFont="1" applyBorder="1" applyAlignment="1">
      <alignment horizontal="center"/>
    </xf>
    <xf numFmtId="0" fontId="5" fillId="0" borderId="17" xfId="0" applyFont="1" applyBorder="1" applyAlignment="1">
      <alignment horizontal="center" vertical="center"/>
    </xf>
    <xf numFmtId="0" fontId="5" fillId="0" borderId="18" xfId="0" applyFont="1" applyBorder="1" applyAlignment="1">
      <alignment horizontal="center" vertical="center" wrapText="1"/>
    </xf>
    <xf numFmtId="3" fontId="3" fillId="0" borderId="9" xfId="0" applyNumberFormat="1" applyFont="1" applyFill="1" applyBorder="1" applyAlignment="1">
      <alignment horizontal="right"/>
    </xf>
    <xf numFmtId="0" fontId="6" fillId="0" borderId="19" xfId="0" applyFont="1" applyBorder="1" applyAlignment="1">
      <alignment vertical="center" wrapText="1"/>
    </xf>
    <xf numFmtId="0" fontId="5" fillId="0" borderId="0" xfId="0" applyFont="1" applyBorder="1" applyAlignment="1">
      <alignment horizontal="center" vertical="center" wrapText="1"/>
    </xf>
    <xf numFmtId="0" fontId="0" fillId="0" borderId="0" xfId="0" applyBorder="1" applyAlignment="1">
      <alignment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K35"/>
  <sheetViews>
    <sheetView tabSelected="1" zoomScaleNormal="100" workbookViewId="0">
      <selection activeCell="B23" sqref="B23"/>
    </sheetView>
  </sheetViews>
  <sheetFormatPr defaultRowHeight="12.75" x14ac:dyDescent="0.2"/>
  <cols>
    <col min="1" max="1" width="4.7109375" style="1" customWidth="1"/>
    <col min="2" max="2" width="80.7109375" style="1" customWidth="1"/>
    <col min="3" max="3" width="17.28515625" style="1" customWidth="1"/>
    <col min="4" max="16384" width="9.140625" style="1"/>
  </cols>
  <sheetData>
    <row r="1" spans="1:6" ht="36" customHeight="1" thickBot="1" x14ac:dyDescent="0.25">
      <c r="A1" s="5"/>
      <c r="B1" s="50" t="s">
        <v>37</v>
      </c>
      <c r="C1" s="51"/>
      <c r="D1" s="51"/>
    </row>
    <row r="2" spans="1:6" ht="54" customHeight="1" thickBot="1" x14ac:dyDescent="0.25">
      <c r="A2" s="40" t="s">
        <v>4</v>
      </c>
      <c r="B2" s="46" t="s">
        <v>5</v>
      </c>
      <c r="C2" s="47" t="s">
        <v>6</v>
      </c>
      <c r="D2" s="39"/>
    </row>
    <row r="3" spans="1:6" s="2" customFormat="1" ht="15" customHeight="1" thickBot="1" x14ac:dyDescent="0.25">
      <c r="A3" s="42">
        <v>1</v>
      </c>
      <c r="B3" s="44">
        <v>2</v>
      </c>
      <c r="C3" s="45">
        <v>3</v>
      </c>
      <c r="D3" s="43"/>
    </row>
    <row r="4" spans="1:6" ht="42" customHeight="1" thickBot="1" x14ac:dyDescent="0.25">
      <c r="A4" s="3" t="s">
        <v>0</v>
      </c>
      <c r="B4" s="41" t="s">
        <v>34</v>
      </c>
      <c r="C4" s="11">
        <v>26062038092</v>
      </c>
    </row>
    <row r="5" spans="1:6" ht="30" customHeight="1" thickBot="1" x14ac:dyDescent="0.25">
      <c r="A5" s="3" t="s">
        <v>1</v>
      </c>
      <c r="B5" s="4" t="s">
        <v>7</v>
      </c>
      <c r="C5" s="12">
        <f>SUM(C7+C16+C22+C23+C24+C25+C26+C27+C28)</f>
        <v>2024127818</v>
      </c>
    </row>
    <row r="6" spans="1:6" ht="15" customHeight="1" x14ac:dyDescent="0.25">
      <c r="A6" s="25"/>
      <c r="B6" s="7" t="s">
        <v>8</v>
      </c>
      <c r="C6" s="6"/>
    </row>
    <row r="7" spans="1:6" ht="36" customHeight="1" x14ac:dyDescent="0.25">
      <c r="A7" s="26"/>
      <c r="B7" s="27" t="s">
        <v>20</v>
      </c>
      <c r="C7" s="18">
        <f>SUM(C9:C15)</f>
        <v>1584359544</v>
      </c>
    </row>
    <row r="8" spans="1:6" ht="15" customHeight="1" x14ac:dyDescent="0.25">
      <c r="A8" s="26"/>
      <c r="B8" s="9" t="s">
        <v>8</v>
      </c>
      <c r="C8" s="14"/>
    </row>
    <row r="9" spans="1:6" ht="21" customHeight="1" x14ac:dyDescent="0.25">
      <c r="A9" s="26"/>
      <c r="B9" s="28" t="s">
        <v>16</v>
      </c>
      <c r="C9" s="19">
        <v>692592606</v>
      </c>
    </row>
    <row r="10" spans="1:6" ht="21" customHeight="1" x14ac:dyDescent="0.25">
      <c r="A10" s="26"/>
      <c r="B10" s="29" t="s">
        <v>17</v>
      </c>
      <c r="C10" s="20">
        <v>107915919</v>
      </c>
      <c r="F10" s="1" t="s">
        <v>32</v>
      </c>
    </row>
    <row r="11" spans="1:6" ht="21" customHeight="1" x14ac:dyDescent="0.25">
      <c r="A11" s="26"/>
      <c r="B11" s="29" t="s">
        <v>18</v>
      </c>
      <c r="C11" s="20">
        <v>5847032</v>
      </c>
    </row>
    <row r="12" spans="1:6" ht="21" customHeight="1" x14ac:dyDescent="0.25">
      <c r="A12" s="30"/>
      <c r="B12" s="28" t="s">
        <v>21</v>
      </c>
      <c r="C12" s="20">
        <v>167058343</v>
      </c>
    </row>
    <row r="13" spans="1:6" ht="21" customHeight="1" x14ac:dyDescent="0.25">
      <c r="A13" s="30"/>
      <c r="B13" s="31" t="s">
        <v>22</v>
      </c>
      <c r="C13" s="20">
        <v>177951023</v>
      </c>
    </row>
    <row r="14" spans="1:6" ht="21" customHeight="1" x14ac:dyDescent="0.25">
      <c r="A14" s="30"/>
      <c r="B14" s="31" t="s">
        <v>19</v>
      </c>
      <c r="C14" s="20">
        <v>372334188</v>
      </c>
    </row>
    <row r="15" spans="1:6" ht="36" customHeight="1" x14ac:dyDescent="0.25">
      <c r="A15" s="26"/>
      <c r="B15" s="31" t="s">
        <v>23</v>
      </c>
      <c r="C15" s="20">
        <v>60660433</v>
      </c>
    </row>
    <row r="16" spans="1:6" ht="39" customHeight="1" x14ac:dyDescent="0.25">
      <c r="A16" s="26"/>
      <c r="B16" s="32" t="s">
        <v>24</v>
      </c>
      <c r="C16" s="21">
        <f>SUM(C18:C21)</f>
        <v>15024261</v>
      </c>
    </row>
    <row r="17" spans="1:11" ht="15" customHeight="1" x14ac:dyDescent="0.25">
      <c r="A17" s="26"/>
      <c r="B17" s="10" t="s">
        <v>8</v>
      </c>
      <c r="C17" s="14"/>
    </row>
    <row r="18" spans="1:11" ht="38.25" customHeight="1" x14ac:dyDescent="0.25">
      <c r="A18" s="26"/>
      <c r="B18" s="33" t="s">
        <v>25</v>
      </c>
      <c r="C18" s="19">
        <v>8450117</v>
      </c>
    </row>
    <row r="19" spans="1:11" ht="36.75" customHeight="1" x14ac:dyDescent="0.25">
      <c r="A19" s="26"/>
      <c r="B19" s="31" t="s">
        <v>27</v>
      </c>
      <c r="C19" s="20">
        <v>5751254</v>
      </c>
    </row>
    <row r="20" spans="1:11" ht="33.75" customHeight="1" x14ac:dyDescent="0.25">
      <c r="A20" s="26"/>
      <c r="B20" s="31" t="s">
        <v>28</v>
      </c>
      <c r="C20" s="20">
        <v>822890</v>
      </c>
    </row>
    <row r="21" spans="1:11" ht="21" customHeight="1" x14ac:dyDescent="0.25">
      <c r="A21" s="26"/>
      <c r="B21" s="31" t="s">
        <v>26</v>
      </c>
      <c r="C21" s="20"/>
    </row>
    <row r="22" spans="1:11" ht="21.75" customHeight="1" x14ac:dyDescent="0.25">
      <c r="A22" s="26"/>
      <c r="B22" s="32" t="s">
        <v>35</v>
      </c>
      <c r="C22" s="21">
        <v>14718825</v>
      </c>
    </row>
    <row r="23" spans="1:11" ht="78.75" x14ac:dyDescent="0.25">
      <c r="A23" s="26"/>
      <c r="B23" s="32" t="s">
        <v>38</v>
      </c>
      <c r="C23" s="21">
        <v>947920</v>
      </c>
    </row>
    <row r="24" spans="1:11" ht="24" customHeight="1" x14ac:dyDescent="0.25">
      <c r="A24" s="26"/>
      <c r="B24" s="32" t="s">
        <v>11</v>
      </c>
      <c r="C24" s="21">
        <v>141969</v>
      </c>
    </row>
    <row r="25" spans="1:11" ht="24" customHeight="1" x14ac:dyDescent="0.25">
      <c r="A25" s="26"/>
      <c r="B25" s="32" t="s">
        <v>33</v>
      </c>
      <c r="C25" s="48">
        <v>405573468</v>
      </c>
    </row>
    <row r="26" spans="1:11" ht="24" customHeight="1" x14ac:dyDescent="0.25">
      <c r="A26" s="26"/>
      <c r="B26" s="32" t="s">
        <v>29</v>
      </c>
      <c r="C26" s="21"/>
    </row>
    <row r="27" spans="1:11" ht="24" customHeight="1" x14ac:dyDescent="0.25">
      <c r="A27" s="26"/>
      <c r="B27" s="32" t="s">
        <v>30</v>
      </c>
      <c r="C27" s="21">
        <v>315785</v>
      </c>
    </row>
    <row r="28" spans="1:11" ht="39" customHeight="1" thickBot="1" x14ac:dyDescent="0.3">
      <c r="A28" s="26"/>
      <c r="B28" s="8" t="s">
        <v>12</v>
      </c>
      <c r="C28" s="15">
        <v>3046046</v>
      </c>
      <c r="K28" s="1" t="s">
        <v>31</v>
      </c>
    </row>
    <row r="29" spans="1:11" ht="30" customHeight="1" thickBot="1" x14ac:dyDescent="0.25">
      <c r="A29" s="3" t="s">
        <v>2</v>
      </c>
      <c r="B29" s="4" t="s">
        <v>9</v>
      </c>
      <c r="C29" s="16">
        <f>SUM(C31:C33)</f>
        <v>2097171676</v>
      </c>
    </row>
    <row r="30" spans="1:11" ht="15" customHeight="1" x14ac:dyDescent="0.25">
      <c r="A30" s="34"/>
      <c r="B30" s="7" t="s">
        <v>8</v>
      </c>
      <c r="C30" s="17"/>
    </row>
    <row r="31" spans="1:11" ht="24" customHeight="1" x14ac:dyDescent="0.25">
      <c r="A31" s="35"/>
      <c r="B31" s="36" t="s">
        <v>13</v>
      </c>
      <c r="C31" s="22">
        <v>1721350000</v>
      </c>
    </row>
    <row r="32" spans="1:11" ht="24" customHeight="1" x14ac:dyDescent="0.25">
      <c r="A32" s="35"/>
      <c r="B32" s="32" t="s">
        <v>14</v>
      </c>
      <c r="C32" s="23">
        <v>370000000</v>
      </c>
    </row>
    <row r="33" spans="1:5" ht="39" customHeight="1" thickBot="1" x14ac:dyDescent="0.3">
      <c r="A33" s="35"/>
      <c r="B33" s="8" t="s">
        <v>15</v>
      </c>
      <c r="C33" s="13">
        <v>5821676</v>
      </c>
    </row>
    <row r="34" spans="1:5" ht="30" customHeight="1" thickBot="1" x14ac:dyDescent="0.25">
      <c r="A34" s="37" t="s">
        <v>3</v>
      </c>
      <c r="B34" s="38" t="s">
        <v>10</v>
      </c>
      <c r="C34" s="11">
        <f>SUM(C4+C5-C29)</f>
        <v>25988994234</v>
      </c>
      <c r="D34" s="39"/>
      <c r="E34" s="39"/>
    </row>
    <row r="35" spans="1:5" ht="48.75" customHeight="1" x14ac:dyDescent="0.2">
      <c r="A35" s="49" t="s">
        <v>36</v>
      </c>
      <c r="B35" s="49"/>
      <c r="C35" s="49"/>
      <c r="D35" s="24"/>
      <c r="E35" s="39"/>
    </row>
  </sheetData>
  <mergeCells count="2">
    <mergeCell ref="A35:C35"/>
    <mergeCell ref="B1:D1"/>
  </mergeCells>
  <phoneticPr fontId="1" type="noConversion"/>
  <printOptions horizontalCentered="1"/>
  <pageMargins left="0.98425196850393704" right="0.39370078740157483" top="0.39370078740157483" bottom="0.39370078740157483" header="0.39370078740157483" footer="0.39370078740157483"/>
  <pageSetup paperSize="9" scale="83"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англ</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Жанна</dc:creator>
  <cp:lastModifiedBy>Айгуль Сулейменова Сатыбаевна</cp:lastModifiedBy>
  <cp:lastPrinted>2016-08-02T06:26:02Z</cp:lastPrinted>
  <dcterms:created xsi:type="dcterms:W3CDTF">2006-08-21T03:40:51Z</dcterms:created>
  <dcterms:modified xsi:type="dcterms:W3CDTF">2020-04-02T10:40:03Z</dcterms:modified>
</cp:coreProperties>
</file>